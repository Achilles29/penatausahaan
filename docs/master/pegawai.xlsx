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penatausahaan\docs\master\"/>
    </mc:Choice>
  </mc:AlternateContent>
  <xr:revisionPtr revIDLastSave="0" documentId="13_ncr:1_{F4060121-E9F3-49AE-8493-DE23063FBA87}" xr6:coauthVersionLast="47" xr6:coauthVersionMax="47" xr10:uidLastSave="{00000000-0000-0000-0000-000000000000}"/>
  <bookViews>
    <workbookView xWindow="-120" yWindow="-120" windowWidth="29040" windowHeight="15720" xr2:uid="{C4C0E749-8BBB-49E9-ADA1-A5E766212CC7}"/>
  </bookViews>
  <sheets>
    <sheet name="pnsd" sheetId="2" r:id="rId1"/>
    <sheet name="pppk" sheetId="3" r:id="rId2"/>
  </sheets>
  <definedNames>
    <definedName name="_xlnm._FilterDatabase" localSheetId="0" hidden="1">pnsd!$A$1:$CW$24</definedName>
    <definedName name="_xlnm._FilterDatabase" localSheetId="1" hidden="1">pppk!$A$1:$CW$9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G31" i="2" l="1"/>
  <c r="CI31" i="2" s="1"/>
  <c r="CK30" i="2"/>
  <c r="CI30" i="2"/>
  <c r="BY28" i="2"/>
  <c r="CI32" i="2" l="1"/>
</calcChain>
</file>

<file path=xl/sharedStrings.xml><?xml version="1.0" encoding="utf-8"?>
<sst xmlns="http://schemas.openxmlformats.org/spreadsheetml/2006/main" count="1249" uniqueCount="372">
  <si>
    <t/>
  </si>
  <si>
    <t>0</t>
  </si>
  <si>
    <t>00000</t>
  </si>
  <si>
    <t>000</t>
  </si>
  <si>
    <t>00</t>
  </si>
  <si>
    <t>3A</t>
  </si>
  <si>
    <t>0000</t>
  </si>
  <si>
    <t>11</t>
  </si>
  <si>
    <t>22</t>
  </si>
  <si>
    <t>005</t>
  </si>
  <si>
    <t>400</t>
  </si>
  <si>
    <t>7</t>
  </si>
  <si>
    <t>REMBANG</t>
  </si>
  <si>
    <t>6</t>
  </si>
  <si>
    <t>PATI</t>
  </si>
  <si>
    <t>SARJANA (S1)</t>
  </si>
  <si>
    <t>3374095712000002</t>
  </si>
  <si>
    <t>A-DINAS KEARSIPAN DAN PERPUSTAKAAN</t>
  </si>
  <si>
    <t>DINAS ARPUS</t>
  </si>
  <si>
    <t>3029443857</t>
  </si>
  <si>
    <t>088238879960</t>
  </si>
  <si>
    <t>PERUM GRIYA SEKAR GADING BLOK Q-12, GUNUNGPATI, SEMARANG</t>
  </si>
  <si>
    <t>D40000513300001</t>
  </si>
  <si>
    <t>133</t>
  </si>
  <si>
    <t>BLORA</t>
  </si>
  <si>
    <t>NAILA FAZA, S.Hum.</t>
  </si>
  <si>
    <t>200012172025052004</t>
  </si>
  <si>
    <t>DIPLOMA 3 (D3)</t>
  </si>
  <si>
    <t>2D</t>
  </si>
  <si>
    <t>KUDUS</t>
  </si>
  <si>
    <t>3B</t>
  </si>
  <si>
    <t>SEMARANG</t>
  </si>
  <si>
    <t>3317071805990005</t>
  </si>
  <si>
    <t>3029067746</t>
  </si>
  <si>
    <t>651940553507000</t>
  </si>
  <si>
    <t>085156906294</t>
  </si>
  <si>
    <t>DESA MLAGEN RT 02 RW 01 KECAMATAN PAMOTAN KABUPATEN REMBANG</t>
  </si>
  <si>
    <t>AHMAD CHOIRUMAN QOTADAH, A.Md.T.</t>
  </si>
  <si>
    <t>199905182022031004</t>
  </si>
  <si>
    <t>3317106304970001</t>
  </si>
  <si>
    <t>3029067706</t>
  </si>
  <si>
    <t>652094293507000</t>
  </si>
  <si>
    <t>085643911097</t>
  </si>
  <si>
    <t>RSS MONDOTEKO RT 004 RW 002 Blok D/19 REMBANG</t>
  </si>
  <si>
    <t>DONES DEWINTASARI, A.Md.S.I.</t>
  </si>
  <si>
    <t>199704232022032020</t>
  </si>
  <si>
    <t>3374137101970002</t>
  </si>
  <si>
    <t>3029383200</t>
  </si>
  <si>
    <t>944628593503000</t>
  </si>
  <si>
    <t>085643018990</t>
  </si>
  <si>
    <t>PETELAN UTARA 927C KEL SARIREJO SEMARANG TIMUR KOTA SEMARANG</t>
  </si>
  <si>
    <t>FISCALITA MUSTAFA, A.Md.S.I</t>
  </si>
  <si>
    <t>199701312020122004</t>
  </si>
  <si>
    <t>PACITAN</t>
  </si>
  <si>
    <t>SARJANA</t>
  </si>
  <si>
    <t>4A</t>
  </si>
  <si>
    <t>3C</t>
  </si>
  <si>
    <t>4B</t>
  </si>
  <si>
    <t>3D</t>
  </si>
  <si>
    <t>3318020907950001</t>
  </si>
  <si>
    <t>03304</t>
  </si>
  <si>
    <t>3029067783</t>
  </si>
  <si>
    <t>651804106507000</t>
  </si>
  <si>
    <t>081259749138</t>
  </si>
  <si>
    <t>DESA TRIMULYO RT 001/RW 001, KEC.KAYEN</t>
  </si>
  <si>
    <t>PATI,</t>
  </si>
  <si>
    <t>SIRAJUDDIN AKBAR SETIAJATI, S.Ptk</t>
  </si>
  <si>
    <t>199507092022031007</t>
  </si>
  <si>
    <t>3318064903920001</t>
  </si>
  <si>
    <t>3029067720</t>
  </si>
  <si>
    <t>691820930514000</t>
  </si>
  <si>
    <t>082352115414</t>
  </si>
  <si>
    <t>DS. RONGGO RT.001/RW.008, KEC.JAKEN, KAB.PATI</t>
  </si>
  <si>
    <t>PURSILAH, S.IP.</t>
  </si>
  <si>
    <t>199203092022032008</t>
  </si>
  <si>
    <t>3317104901910001</t>
  </si>
  <si>
    <t>3029230608</t>
  </si>
  <si>
    <t>878504950507000</t>
  </si>
  <si>
    <t>081224943456</t>
  </si>
  <si>
    <t>DS. TASIKHARJO RT 01 RW 01 KEC. KALIORI REMBANG</t>
  </si>
  <si>
    <t>HANITA ARY PRASTIWI, SSTP</t>
  </si>
  <si>
    <t>199101092012062001</t>
  </si>
  <si>
    <t>SLTA</t>
  </si>
  <si>
    <t>3317102910890004</t>
  </si>
  <si>
    <t>3029228093</t>
  </si>
  <si>
    <t>878520915507000</t>
  </si>
  <si>
    <t>085730012324</t>
  </si>
  <si>
    <t>KEL.TANJUNGSARI 004/002 REMBANG</t>
  </si>
  <si>
    <t>MUKHAMMAD ANWAR FU`ADI, SSTP, M.Si</t>
  </si>
  <si>
    <t>198901292012061001</t>
  </si>
  <si>
    <t>DIPLOMA I</t>
  </si>
  <si>
    <t>542907092507000</t>
  </si>
  <si>
    <t>3317096307840001</t>
  </si>
  <si>
    <t>3029056144</t>
  </si>
  <si>
    <t>575714472507000</t>
  </si>
  <si>
    <t>085740095025</t>
  </si>
  <si>
    <t>PERUM GRIYA UTAMA PERMAI 03/05 BLOK D.04 KABONGAN KIDUL RBG</t>
  </si>
  <si>
    <t>EVA MARTINA AFRIANA, ST.M.M.</t>
  </si>
  <si>
    <t>198407232009032012</t>
  </si>
  <si>
    <t>2B</t>
  </si>
  <si>
    <t>SUPRAPTI</t>
  </si>
  <si>
    <t>1</t>
  </si>
  <si>
    <t>4C</t>
  </si>
  <si>
    <t>3317107110810001</t>
  </si>
  <si>
    <t>03205</t>
  </si>
  <si>
    <t>3029075769</t>
  </si>
  <si>
    <t>641538830507000</t>
  </si>
  <si>
    <t>081228596956</t>
  </si>
  <si>
    <t>DS. KABONGAN KIDUL RT.01, RW.03 REMBANG</t>
  </si>
  <si>
    <t>CANDRAWATI OKTAVIANI,SH</t>
  </si>
  <si>
    <t>198110312010012002</t>
  </si>
  <si>
    <t>797569571507000</t>
  </si>
  <si>
    <t>3317103108800002</t>
  </si>
  <si>
    <t>3029341914</t>
  </si>
  <si>
    <t>493246953831000</t>
  </si>
  <si>
    <t>08114582520</t>
  </si>
  <si>
    <t>KEL. MAGERSARI RT.02,RW.01 REMBANG</t>
  </si>
  <si>
    <t>WAHYUDI WIRAWANTO,SE</t>
  </si>
  <si>
    <t>198008312014071001</t>
  </si>
  <si>
    <t>3317102209790003</t>
  </si>
  <si>
    <t>3029061032</t>
  </si>
  <si>
    <t>085225774405</t>
  </si>
  <si>
    <t>DS. TURUSGEDE RT. 06/RW. 01 REMBANG</t>
  </si>
  <si>
    <t>IKHSAN ROFINGI</t>
  </si>
  <si>
    <t>197909222009011003</t>
  </si>
  <si>
    <t>3317145606790002</t>
  </si>
  <si>
    <t>3029061601</t>
  </si>
  <si>
    <t>797569548507000</t>
  </si>
  <si>
    <t>081326096048</t>
  </si>
  <si>
    <t>DS. JOLOTUNDO RT.0017 RW.008 LASEM</t>
  </si>
  <si>
    <t>197906162009012004</t>
  </si>
  <si>
    <t>3317106712780002</t>
  </si>
  <si>
    <t>3029034175</t>
  </si>
  <si>
    <t>797617545507000</t>
  </si>
  <si>
    <t>085290665126</t>
  </si>
  <si>
    <t>DS.WARU RT05 RW02 KAB.REMBANG</t>
  </si>
  <si>
    <t>LILIK SRI DARYATI, SE</t>
  </si>
  <si>
    <t>197812272009012007</t>
  </si>
  <si>
    <t>SUKARDI</t>
  </si>
  <si>
    <t>3317102006770006</t>
  </si>
  <si>
    <t>3029075700</t>
  </si>
  <si>
    <t>586664773507000</t>
  </si>
  <si>
    <t>083878160271</t>
  </si>
  <si>
    <t>JL. SLAMET RIYAD RT. 02, RT. 01 REMBANG</t>
  </si>
  <si>
    <t>HERI SISWANTO ,SE</t>
  </si>
  <si>
    <t>197706202010011004</t>
  </si>
  <si>
    <t>452760697507000</t>
  </si>
  <si>
    <t>3317101606760002</t>
  </si>
  <si>
    <t>3029061598</t>
  </si>
  <si>
    <t>797569563507000</t>
  </si>
  <si>
    <t>081215999165</t>
  </si>
  <si>
    <t>Ds. Pamotan RT.03,RW.07 Kec.Pamotan Rembang</t>
  </si>
  <si>
    <t>DWI JUNAIDI</t>
  </si>
  <si>
    <t>197606162009011007</t>
  </si>
  <si>
    <t>3317100304730003</t>
  </si>
  <si>
    <t>3029041473</t>
  </si>
  <si>
    <t>010240396</t>
  </si>
  <si>
    <t>0895401712067</t>
  </si>
  <si>
    <t>DS.MAGERSARI KEC. REMBANG</t>
  </si>
  <si>
    <t>ADI BAGUS SATRIYO, S.Sos</t>
  </si>
  <si>
    <t>197304031992031002</t>
  </si>
  <si>
    <t>3317142602730002</t>
  </si>
  <si>
    <t>03306</t>
  </si>
  <si>
    <t>3029061580</t>
  </si>
  <si>
    <t>500181640</t>
  </si>
  <si>
    <t>797569530507000</t>
  </si>
  <si>
    <t>087710363181</t>
  </si>
  <si>
    <t>JL. KRAPYAK 10, RT.03, RW.02 REMBANG</t>
  </si>
  <si>
    <t>GUNAWAN,S.I.Pust</t>
  </si>
  <si>
    <t>197302262008011006</t>
  </si>
  <si>
    <t>3317092007720001</t>
  </si>
  <si>
    <t>3029061059</t>
  </si>
  <si>
    <t>797569555507000</t>
  </si>
  <si>
    <t>085225403102</t>
  </si>
  <si>
    <t>DS. SENDANGAGUNG RT. 04, RW.03 REMBANG</t>
  </si>
  <si>
    <t>JOKO SURYONO</t>
  </si>
  <si>
    <t>197207202009011002</t>
  </si>
  <si>
    <t>3317101308710004</t>
  </si>
  <si>
    <t>3029061709</t>
  </si>
  <si>
    <t>500099591</t>
  </si>
  <si>
    <t>797569589507000</t>
  </si>
  <si>
    <t>0817247114</t>
  </si>
  <si>
    <t>JL. GAJAH MADA NO. 29 MAGERSARI REMBANG</t>
  </si>
  <si>
    <t>197108131993031003</t>
  </si>
  <si>
    <t>3317100411700001</t>
  </si>
  <si>
    <t>3029041805</t>
  </si>
  <si>
    <t>500096954</t>
  </si>
  <si>
    <t>693281206507000</t>
  </si>
  <si>
    <t>081326126524</t>
  </si>
  <si>
    <t>PERUM RSS BLOK G8 DS. MONDOTEKO RT. 06 RW. 02 REMBANG</t>
  </si>
  <si>
    <t>H. ARIF ROMADLON, SH, MM</t>
  </si>
  <si>
    <t>197011041992031006</t>
  </si>
  <si>
    <t>3319061409690001</t>
  </si>
  <si>
    <t>3029061695</t>
  </si>
  <si>
    <t>500096229</t>
  </si>
  <si>
    <t>776028680506000</t>
  </si>
  <si>
    <t>085712680456</t>
  </si>
  <si>
    <t>Ds. Sadang RT.02/RW. 01, Jekulo KUDUS</t>
  </si>
  <si>
    <t>MASHUDI,AMd</t>
  </si>
  <si>
    <t>196909141991031012</t>
  </si>
  <si>
    <t>3317147008690001</t>
  </si>
  <si>
    <t>3029048303</t>
  </si>
  <si>
    <t>500189154</t>
  </si>
  <si>
    <t>451657365507000</t>
  </si>
  <si>
    <t>082220717168</t>
  </si>
  <si>
    <t>DS. JOLOTUNDO RT 01/01 LASEM</t>
  </si>
  <si>
    <t>SRI BARLIYANTI</t>
  </si>
  <si>
    <t>196908302008012009</t>
  </si>
  <si>
    <t>noktp</t>
  </si>
  <si>
    <t>nmskpd</t>
  </si>
  <si>
    <t>nmsatker</t>
  </si>
  <si>
    <t>kdstawin</t>
  </si>
  <si>
    <t>hal</t>
  </si>
  <si>
    <t>nu</t>
  </si>
  <si>
    <t>catatan</t>
  </si>
  <si>
    <t>bersih</t>
  </si>
  <si>
    <t>potongan</t>
  </si>
  <si>
    <t>ptaperai</t>
  </si>
  <si>
    <t>ptaperap</t>
  </si>
  <si>
    <t>pjkm</t>
  </si>
  <si>
    <t>pjkk</t>
  </si>
  <si>
    <t>pkoperasi</t>
  </si>
  <si>
    <t>pirdhata</t>
  </si>
  <si>
    <t>pkorpri</t>
  </si>
  <si>
    <t>phutang</t>
  </si>
  <si>
    <t>psewa</t>
  </si>
  <si>
    <t>ptaperum</t>
  </si>
  <si>
    <t>pbulog</t>
  </si>
  <si>
    <t>ppajak</t>
  </si>
  <si>
    <t>iwp_taspen</t>
  </si>
  <si>
    <t>iwp_beban_pembkerja</t>
  </si>
  <si>
    <t>iwp_beban_pegawai</t>
  </si>
  <si>
    <t>kotor</t>
  </si>
  <si>
    <t>tbulat</t>
  </si>
  <si>
    <t>ttaperap</t>
  </si>
  <si>
    <t>tjkm</t>
  </si>
  <si>
    <t>tjkk</t>
  </si>
  <si>
    <t>tjumum</t>
  </si>
  <si>
    <t>tjaskes</t>
  </si>
  <si>
    <t>tjpajak</t>
  </si>
  <si>
    <t>tjberas</t>
  </si>
  <si>
    <t>tjkhusus</t>
  </si>
  <si>
    <t>tjterpencil</t>
  </si>
  <si>
    <t>tjtkd</t>
  </si>
  <si>
    <t>tjlangka</t>
  </si>
  <si>
    <t>tjguru</t>
  </si>
  <si>
    <t>tjstruk</t>
  </si>
  <si>
    <t>tjfungsi</t>
  </si>
  <si>
    <t>tjeselon</t>
  </si>
  <si>
    <t>tjtpp</t>
  </si>
  <si>
    <t>tjanak</t>
  </si>
  <si>
    <t>tjistri</t>
  </si>
  <si>
    <t>gapok</t>
  </si>
  <si>
    <t>kdirdhata</t>
  </si>
  <si>
    <t>kdkoperasi</t>
  </si>
  <si>
    <t>kdkorpri</t>
  </si>
  <si>
    <t>kdtjkhusus</t>
  </si>
  <si>
    <t>kdtkd</t>
  </si>
  <si>
    <t>kdterpencil</t>
  </si>
  <si>
    <t>kdlangka</t>
  </si>
  <si>
    <t>kdberas</t>
  </si>
  <si>
    <t>kdstruk</t>
  </si>
  <si>
    <t>kdguru</t>
  </si>
  <si>
    <t>kdfungsi</t>
  </si>
  <si>
    <t>kdeselon</t>
  </si>
  <si>
    <t>tmttabel</t>
  </si>
  <si>
    <t>prsngapok</t>
  </si>
  <si>
    <t>masker</t>
  </si>
  <si>
    <t>kdpangkat</t>
  </si>
  <si>
    <t>tmtstop</t>
  </si>
  <si>
    <t>kdstapeg</t>
  </si>
  <si>
    <t>janak</t>
  </si>
  <si>
    <t>jistri</t>
  </si>
  <si>
    <t>kdjnstrans</t>
  </si>
  <si>
    <t>taperum</t>
  </si>
  <si>
    <t>tmtberlaku</t>
  </si>
  <si>
    <t>kdhitung</t>
  </si>
  <si>
    <t>norek</t>
  </si>
  <si>
    <t>kodebyr</t>
  </si>
  <si>
    <t>niplama</t>
  </si>
  <si>
    <t>npwp</t>
  </si>
  <si>
    <t>notelp</t>
  </si>
  <si>
    <t>kddati1</t>
  </si>
  <si>
    <t>kddati2</t>
  </si>
  <si>
    <t>kddati3</t>
  </si>
  <si>
    <t>kddati4</t>
  </si>
  <si>
    <t>alamat</t>
  </si>
  <si>
    <t>kdsatker</t>
  </si>
  <si>
    <t>kdskpd</t>
  </si>
  <si>
    <t>kdssbp</t>
  </si>
  <si>
    <t>kdcabtaspen</t>
  </si>
  <si>
    <t>nodosir</t>
  </si>
  <si>
    <t>bup</t>
  </si>
  <si>
    <t>tmtkgbyad</t>
  </si>
  <si>
    <t>tmtkgb</t>
  </si>
  <si>
    <t>blgolt</t>
  </si>
  <si>
    <t>mkgolt</t>
  </si>
  <si>
    <t>tmtskmt</t>
  </si>
  <si>
    <t>tmtcapeg</t>
  </si>
  <si>
    <t>pendidikan</t>
  </si>
  <si>
    <t>agama</t>
  </si>
  <si>
    <t>tgllhr</t>
  </si>
  <si>
    <t>tempatlhr</t>
  </si>
  <si>
    <t>kdjenkel</t>
  </si>
  <si>
    <t>glrdepan</t>
  </si>
  <si>
    <t>glrbelakang</t>
  </si>
  <si>
    <t>nama</t>
  </si>
  <si>
    <t>nip</t>
  </si>
  <si>
    <t>tglgaji</t>
  </si>
  <si>
    <t>5</t>
  </si>
  <si>
    <t>3</t>
  </si>
  <si>
    <t>9</t>
  </si>
  <si>
    <t>3029010757</t>
  </si>
  <si>
    <t>3317101704980006</t>
  </si>
  <si>
    <t>B-DINAS KEARSIPAN DAN PERPUSTAKAAN</t>
  </si>
  <si>
    <t>1005015912</t>
  </si>
  <si>
    <t>089609724798</t>
  </si>
  <si>
    <t>JL. SLAMET RIYADI RT 04 RW 01 DESA SUMBERJO KEC. REMBANG</t>
  </si>
  <si>
    <t>D40000523300001</t>
  </si>
  <si>
    <t>233</t>
  </si>
  <si>
    <t>ROYAN ISTOFA</t>
  </si>
  <si>
    <t>199804172025211026</t>
  </si>
  <si>
    <t>3317066510960003</t>
  </si>
  <si>
    <t>207759911507000</t>
  </si>
  <si>
    <t>6289627687311</t>
  </si>
  <si>
    <t>DESA KARAS RT. 001/ RW. 003, KEC. SEDAN, REMBANG</t>
  </si>
  <si>
    <t>ALFIYATURROHMANIYYAH, S.Hum</t>
  </si>
  <si>
    <t>199610252024212017</t>
  </si>
  <si>
    <t>3317103006910001</t>
  </si>
  <si>
    <t>843285701507000</t>
  </si>
  <si>
    <t>628976663654</t>
  </si>
  <si>
    <t>KABONGAN KIDUL RT 05 RW 02</t>
  </si>
  <si>
    <t>FANNI INDRA KUSUMA, S.Kom</t>
  </si>
  <si>
    <t>199106302024211005</t>
  </si>
  <si>
    <t>3317110909910001</t>
  </si>
  <si>
    <t>3029069825</t>
  </si>
  <si>
    <t>992641803507000</t>
  </si>
  <si>
    <t>081236047901</t>
  </si>
  <si>
    <t>DESA PANCUR RT 11/1 PANCUR RBG</t>
  </si>
  <si>
    <t>RICCO SATRIA DWISASONO,S.Kom</t>
  </si>
  <si>
    <t>199109092023211029</t>
  </si>
  <si>
    <t>3317115805910002</t>
  </si>
  <si>
    <t>3029416761</t>
  </si>
  <si>
    <t>081336820704</t>
  </si>
  <si>
    <t>DESA TRAHAN TR/RW: 01/02 KECAMATAN SLUKE</t>
  </si>
  <si>
    <t>FUTRI SAL SABILA, S. Hum.</t>
  </si>
  <si>
    <t>199105182023212038</t>
  </si>
  <si>
    <t>3317147008870003</t>
  </si>
  <si>
    <t>727916223507000</t>
  </si>
  <si>
    <t>6282326537077</t>
  </si>
  <si>
    <t>DS. GEDONGMULYO RT.03 RW.02 KEC. LASEM KAB. REMBANG</t>
  </si>
  <si>
    <t>INDAH WAHYUNINGSIH, S.I.Pust.</t>
  </si>
  <si>
    <t>198708302024212002</t>
  </si>
  <si>
    <t>3317102405860003</t>
  </si>
  <si>
    <t>1005015913</t>
  </si>
  <si>
    <t>082220120130</t>
  </si>
  <si>
    <t>MONDOTEKO RT 003 / RW 004</t>
  </si>
  <si>
    <t>MOHAMMAD 'AINUR ROFIQ</t>
  </si>
  <si>
    <t>198605242025211038</t>
  </si>
  <si>
    <t>3317096009840002</t>
  </si>
  <si>
    <t>207762261507000</t>
  </si>
  <si>
    <t>6285283003129</t>
  </si>
  <si>
    <t>DESA METESEH RT 02 RW 04 KEC KALIORI REMBANG</t>
  </si>
  <si>
    <t>SRI SUBEKTI, S.I.Pust.</t>
  </si>
  <si>
    <t>198409202024212002</t>
  </si>
  <si>
    <t>5.1.01.01.009.00001 BPJS Kesehatan Gaji (1%)Rp 80.900</t>
  </si>
  <si>
    <t>5.1.01.01.013.00001 Taspen — Iuran Pensiun (4,75%)Rp 288.086</t>
  </si>
  <si>
    <t>5.1.01.01.013.00001 Taspen — JHT (3,25%)Rp 197.111</t>
  </si>
  <si>
    <r>
      <t xml:space="preserve">5.1.01.01.007.00001 Tunjangan PPh 21 — Ditanggung Pemerintah </t>
    </r>
    <r>
      <rPr>
        <i/>
        <sz val="11"/>
        <color theme="1"/>
        <rFont val="Calibri"/>
        <family val="2"/>
        <scheme val="minor"/>
      </rPr>
      <t>(disetor)</t>
    </r>
    <r>
      <rPr>
        <sz val="11"/>
        <color theme="1"/>
        <rFont val="Calibri"/>
        <family val="2"/>
        <scheme val="minor"/>
      </rPr>
      <t>Rp 123.522</t>
    </r>
  </si>
  <si>
    <r>
      <t xml:space="preserve">5.1.01.01.009.00001 BPJS Kesehatan — Pemberi Kerja (4%) </t>
    </r>
    <r>
      <rPr>
        <i/>
        <sz val="11"/>
        <color theme="1"/>
        <rFont val="Calibri"/>
        <family val="2"/>
        <scheme val="minor"/>
      </rPr>
      <t>(disetor)</t>
    </r>
    <r>
      <rPr>
        <sz val="11"/>
        <color theme="1"/>
        <rFont val="Calibri"/>
        <family val="2"/>
        <scheme val="minor"/>
      </rPr>
      <t>Rp 323.598</t>
    </r>
  </si>
  <si>
    <r>
      <t xml:space="preserve">5.1.01.01.010.00001 Iuran JKK — Pemberi Kerja (0,24%) </t>
    </r>
    <r>
      <rPr>
        <i/>
        <sz val="11"/>
        <color theme="1"/>
        <rFont val="Calibri"/>
        <family val="2"/>
        <scheme val="minor"/>
      </rPr>
      <t>(disetor)</t>
    </r>
    <r>
      <rPr>
        <sz val="11"/>
        <color theme="1"/>
        <rFont val="Calibri"/>
        <family val="2"/>
        <scheme val="minor"/>
      </rPr>
      <t>Rp 13.233</t>
    </r>
  </si>
  <si>
    <r>
      <t xml:space="preserve">5.1.01.01.011.00001 Iuran JKM — Pemberi Kerja (0,30%) </t>
    </r>
    <r>
      <rPr>
        <i/>
        <sz val="11"/>
        <color theme="1"/>
        <rFont val="Calibri"/>
        <family val="2"/>
        <scheme val="minor"/>
      </rPr>
      <t>(disetor)</t>
    </r>
    <r>
      <rPr>
        <sz val="11"/>
        <color theme="1"/>
        <rFont val="Calibri"/>
        <family val="2"/>
        <scheme val="minor"/>
      </rPr>
      <t>Rp 39.698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</si>
</sst>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1"/>
    <xf numFmtId="14" fontId="1" fillId="0" borderId="0" xfId="1" applyNumberFormat="1"/>
    <xf numFmtId="14" fontId="1" fillId="2" borderId="0" xfId="1" applyNumberFormat="1" applyFill="1"/>
    <xf numFmtId="0" fontId="1" fillId="2" borderId="0" xfId="1" applyFill="1"/>
    <xf numFmtId="14" fontId="1" fillId="3" borderId="0" xfId="1" applyNumberFormat="1" applyFill="1"/>
    <xf numFmtId="0" fontId="1" fillId="3" borderId="0" xfId="1" applyFill="1"/>
    <xf numFmtId="43" fontId="1" fillId="0" borderId="0" xfId="2" applyFont="1"/>
    <xf numFmtId="14" fontId="1" fillId="0" borderId="0" xfId="1" applyNumberFormat="1" applyFill="1"/>
    <xf numFmtId="0" fontId="1" fillId="0" borderId="0" xfId="1" applyFill="1"/>
    <xf numFmtId="3" fontId="0" fillId="0" borderId="0" xfId="0" applyNumberFormat="1"/>
  </cellXfs>
  <cellStyles count="3">
    <cellStyle name="Comma" xfId="2" builtinId="3"/>
    <cellStyle name="Normal" xfId="0" builtinId="0"/>
    <cellStyle name="Normal 2" xfId="1" xr:uid="{5E3059F2-3CF0-4AE4-9471-78121CFDFA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F0895-CD4F-4DBB-9AC3-12375A5F2538}">
  <dimension ref="A1:CW38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J21" sqref="J21"/>
    </sheetView>
  </sheetViews>
  <sheetFormatPr defaultRowHeight="12.75" x14ac:dyDescent="0.2"/>
  <cols>
    <col min="1" max="1" width="9.140625" style="1"/>
    <col min="2" max="2" width="19.28515625" style="1" bestFit="1" customWidth="1"/>
    <col min="3" max="3" width="49.5703125" style="1" customWidth="1"/>
    <col min="4" max="7" width="9.140625" style="1"/>
    <col min="8" max="8" width="10.140625" style="1" bestFit="1" customWidth="1"/>
    <col min="9" max="10" width="9.140625" style="1"/>
    <col min="11" max="11" width="11" style="1" bestFit="1" customWidth="1"/>
    <col min="12" max="12" width="10.140625" style="1" bestFit="1" customWidth="1"/>
    <col min="13" max="14" width="9.140625" style="1"/>
    <col min="15" max="15" width="10.140625" style="1" bestFit="1" customWidth="1"/>
    <col min="16" max="16" width="12" style="1" bestFit="1" customWidth="1"/>
    <col min="17" max="43" width="9.140625" style="1"/>
    <col min="44" max="44" width="14.140625" style="1" customWidth="1"/>
    <col min="45" max="76" width="9.140625" style="1"/>
    <col min="77" max="77" width="11.28515625" style="1" bestFit="1" customWidth="1"/>
    <col min="78" max="16384" width="9.140625" style="1"/>
  </cols>
  <sheetData>
    <row r="1" spans="1:101" x14ac:dyDescent="0.2">
      <c r="A1" s="1" t="s">
        <v>308</v>
      </c>
      <c r="B1" s="1" t="s">
        <v>307</v>
      </c>
      <c r="C1" s="1" t="s">
        <v>306</v>
      </c>
      <c r="D1" s="1" t="s">
        <v>305</v>
      </c>
      <c r="E1" s="1" t="s">
        <v>304</v>
      </c>
      <c r="F1" s="1" t="s">
        <v>303</v>
      </c>
      <c r="G1" s="1" t="s">
        <v>302</v>
      </c>
      <c r="H1" s="1" t="s">
        <v>301</v>
      </c>
      <c r="I1" s="1" t="s">
        <v>300</v>
      </c>
      <c r="J1" s="1" t="s">
        <v>299</v>
      </c>
      <c r="K1" s="1" t="s">
        <v>298</v>
      </c>
      <c r="L1" s="1" t="s">
        <v>297</v>
      </c>
      <c r="M1" s="1" t="s">
        <v>296</v>
      </c>
      <c r="N1" s="1" t="s">
        <v>295</v>
      </c>
      <c r="O1" s="1" t="s">
        <v>294</v>
      </c>
      <c r="P1" s="1" t="s">
        <v>293</v>
      </c>
      <c r="Q1" s="1" t="s">
        <v>292</v>
      </c>
      <c r="R1" s="1" t="s">
        <v>291</v>
      </c>
      <c r="S1" s="1" t="s">
        <v>290</v>
      </c>
      <c r="T1" s="1" t="s">
        <v>289</v>
      </c>
      <c r="U1" s="1" t="s">
        <v>288</v>
      </c>
      <c r="V1" s="1" t="s">
        <v>287</v>
      </c>
      <c r="W1" s="1" t="s">
        <v>286</v>
      </c>
      <c r="X1" s="1" t="s">
        <v>285</v>
      </c>
      <c r="Y1" s="1" t="s">
        <v>284</v>
      </c>
      <c r="Z1" s="1" t="s">
        <v>283</v>
      </c>
      <c r="AA1" s="1" t="s">
        <v>282</v>
      </c>
      <c r="AB1" s="1" t="s">
        <v>281</v>
      </c>
      <c r="AC1" s="1" t="s">
        <v>280</v>
      </c>
      <c r="AD1" s="1" t="s">
        <v>279</v>
      </c>
      <c r="AE1" s="1" t="s">
        <v>278</v>
      </c>
      <c r="AF1" s="1" t="s">
        <v>277</v>
      </c>
      <c r="AG1" s="1" t="s">
        <v>276</v>
      </c>
      <c r="AH1" s="1" t="s">
        <v>275</v>
      </c>
      <c r="AI1" s="1" t="s">
        <v>274</v>
      </c>
      <c r="AJ1" s="1" t="s">
        <v>273</v>
      </c>
      <c r="AK1" s="1" t="s">
        <v>272</v>
      </c>
      <c r="AL1" s="1" t="s">
        <v>271</v>
      </c>
      <c r="AM1" s="1" t="s">
        <v>270</v>
      </c>
      <c r="AN1" s="1" t="s">
        <v>269</v>
      </c>
      <c r="AO1" s="1" t="s">
        <v>268</v>
      </c>
      <c r="AP1" s="1" t="s">
        <v>267</v>
      </c>
      <c r="AQ1" s="1" t="s">
        <v>266</v>
      </c>
      <c r="AR1" s="1" t="s">
        <v>265</v>
      </c>
      <c r="AS1" s="1" t="s">
        <v>264</v>
      </c>
      <c r="AT1" s="1" t="s">
        <v>263</v>
      </c>
      <c r="AU1" s="1" t="s">
        <v>262</v>
      </c>
      <c r="AV1" s="1" t="s">
        <v>261</v>
      </c>
      <c r="AW1" s="1" t="s">
        <v>260</v>
      </c>
      <c r="AX1" s="1" t="s">
        <v>259</v>
      </c>
      <c r="AY1" s="1" t="s">
        <v>258</v>
      </c>
      <c r="AZ1" s="1" t="s">
        <v>257</v>
      </c>
      <c r="BA1" s="1" t="s">
        <v>256</v>
      </c>
      <c r="BB1" s="1" t="s">
        <v>255</v>
      </c>
      <c r="BC1" s="1" t="s">
        <v>254</v>
      </c>
      <c r="BD1" s="1" t="s">
        <v>253</v>
      </c>
      <c r="BE1" s="1" t="s">
        <v>252</v>
      </c>
      <c r="BF1" s="1" t="s">
        <v>251</v>
      </c>
      <c r="BG1" s="1" t="s">
        <v>250</v>
      </c>
      <c r="BH1" s="1" t="s">
        <v>249</v>
      </c>
      <c r="BI1" s="1" t="s">
        <v>248</v>
      </c>
      <c r="BJ1" s="1" t="s">
        <v>247</v>
      </c>
      <c r="BK1" s="1" t="s">
        <v>246</v>
      </c>
      <c r="BL1" s="1" t="s">
        <v>245</v>
      </c>
      <c r="BM1" s="1" t="s">
        <v>244</v>
      </c>
      <c r="BN1" s="1" t="s">
        <v>243</v>
      </c>
      <c r="BO1" s="1" t="s">
        <v>242</v>
      </c>
      <c r="BP1" s="1" t="s">
        <v>241</v>
      </c>
      <c r="BQ1" s="1" t="s">
        <v>240</v>
      </c>
      <c r="BR1" s="1" t="s">
        <v>239</v>
      </c>
      <c r="BS1" s="1" t="s">
        <v>238</v>
      </c>
      <c r="BT1" s="1" t="s">
        <v>237</v>
      </c>
      <c r="BU1" s="1" t="s">
        <v>236</v>
      </c>
      <c r="BV1" s="1" t="s">
        <v>235</v>
      </c>
      <c r="BW1" s="1" t="s">
        <v>234</v>
      </c>
      <c r="BX1" s="1" t="s">
        <v>233</v>
      </c>
      <c r="BY1" s="1" t="s">
        <v>232</v>
      </c>
      <c r="BZ1" s="1" t="s">
        <v>231</v>
      </c>
      <c r="CA1" s="1" t="s">
        <v>230</v>
      </c>
      <c r="CB1" s="1" t="s">
        <v>229</v>
      </c>
      <c r="CC1" s="1" t="s">
        <v>228</v>
      </c>
      <c r="CD1" s="1" t="s">
        <v>227</v>
      </c>
      <c r="CE1" s="1" t="s">
        <v>226</v>
      </c>
      <c r="CF1" s="1" t="s">
        <v>225</v>
      </c>
      <c r="CG1" s="1" t="s">
        <v>224</v>
      </c>
      <c r="CH1" s="1" t="s">
        <v>223</v>
      </c>
      <c r="CI1" s="1" t="s">
        <v>222</v>
      </c>
      <c r="CJ1" s="1" t="s">
        <v>221</v>
      </c>
      <c r="CK1" s="1" t="s">
        <v>220</v>
      </c>
      <c r="CL1" s="1" t="s">
        <v>219</v>
      </c>
      <c r="CM1" s="1" t="s">
        <v>218</v>
      </c>
      <c r="CN1" s="1" t="s">
        <v>217</v>
      </c>
      <c r="CO1" s="1" t="s">
        <v>216</v>
      </c>
      <c r="CP1" s="1" t="s">
        <v>215</v>
      </c>
      <c r="CQ1" s="1" t="s">
        <v>214</v>
      </c>
      <c r="CR1" s="1" t="s">
        <v>213</v>
      </c>
      <c r="CS1" s="1" t="s">
        <v>212</v>
      </c>
      <c r="CT1" s="1" t="s">
        <v>211</v>
      </c>
      <c r="CU1" s="1" t="s">
        <v>210</v>
      </c>
      <c r="CV1" s="1" t="s">
        <v>209</v>
      </c>
      <c r="CW1" s="1" t="s">
        <v>208</v>
      </c>
    </row>
    <row r="2" spans="1:101" s="4" customFormat="1" x14ac:dyDescent="0.2">
      <c r="A2" s="3">
        <v>46204</v>
      </c>
      <c r="B2" s="4" t="s">
        <v>207</v>
      </c>
      <c r="C2" s="4" t="s">
        <v>206</v>
      </c>
      <c r="D2" s="4" t="s">
        <v>0</v>
      </c>
      <c r="E2" s="4" t="s">
        <v>0</v>
      </c>
      <c r="F2" s="4">
        <v>2</v>
      </c>
      <c r="G2" s="4" t="s">
        <v>12</v>
      </c>
      <c r="H2" s="3">
        <v>25445</v>
      </c>
      <c r="I2" s="4">
        <v>1</v>
      </c>
      <c r="J2" s="4" t="s">
        <v>82</v>
      </c>
      <c r="K2" s="3">
        <v>39448</v>
      </c>
      <c r="L2" s="3">
        <v>39448</v>
      </c>
      <c r="M2" s="4">
        <v>18</v>
      </c>
      <c r="N2" s="4">
        <v>0</v>
      </c>
      <c r="O2" s="3">
        <v>46054</v>
      </c>
      <c r="P2" s="3">
        <v>43132</v>
      </c>
      <c r="Q2" s="4">
        <v>58</v>
      </c>
      <c r="R2" s="4" t="s">
        <v>0</v>
      </c>
      <c r="S2" s="4" t="s">
        <v>10</v>
      </c>
      <c r="T2" s="4" t="s">
        <v>9</v>
      </c>
      <c r="U2" s="4" t="s">
        <v>23</v>
      </c>
      <c r="V2" s="4" t="s">
        <v>22</v>
      </c>
      <c r="W2" s="4" t="s">
        <v>205</v>
      </c>
      <c r="X2" s="4" t="s">
        <v>3</v>
      </c>
      <c r="Y2" s="4" t="s">
        <v>4</v>
      </c>
      <c r="Z2" s="4" t="s">
        <v>8</v>
      </c>
      <c r="AA2" s="4" t="s">
        <v>7</v>
      </c>
      <c r="AB2" s="4" t="s">
        <v>204</v>
      </c>
      <c r="AC2" s="4" t="s">
        <v>203</v>
      </c>
      <c r="AD2" s="4" t="s">
        <v>202</v>
      </c>
      <c r="AE2" s="4" t="s">
        <v>6</v>
      </c>
      <c r="AF2" s="4" t="s">
        <v>201</v>
      </c>
      <c r="AG2" s="4">
        <v>1</v>
      </c>
      <c r="AH2" s="3">
        <v>46204</v>
      </c>
      <c r="AI2" s="4">
        <v>0</v>
      </c>
      <c r="AJ2" s="4">
        <v>1</v>
      </c>
      <c r="AK2" s="4">
        <v>1</v>
      </c>
      <c r="AL2" s="4">
        <v>0</v>
      </c>
      <c r="AM2" s="4">
        <v>4</v>
      </c>
      <c r="AO2" s="4" t="s">
        <v>5</v>
      </c>
      <c r="AP2" s="4">
        <v>18</v>
      </c>
      <c r="AQ2" s="4">
        <v>100</v>
      </c>
      <c r="AR2" s="3">
        <v>45292</v>
      </c>
      <c r="AS2" s="4" t="s">
        <v>4</v>
      </c>
      <c r="AT2" s="4" t="s">
        <v>2</v>
      </c>
      <c r="AU2" s="4" t="s">
        <v>3</v>
      </c>
      <c r="AV2" s="4">
        <v>0</v>
      </c>
      <c r="AW2" s="4">
        <v>2</v>
      </c>
      <c r="AX2" s="4">
        <v>0</v>
      </c>
      <c r="AY2" s="4" t="s">
        <v>3</v>
      </c>
      <c r="AZ2" s="4">
        <v>0</v>
      </c>
      <c r="BA2" s="4" t="s">
        <v>2</v>
      </c>
      <c r="BB2" s="4" t="s">
        <v>1</v>
      </c>
      <c r="BC2" s="4" t="s">
        <v>1</v>
      </c>
      <c r="BD2" s="4" t="s">
        <v>1</v>
      </c>
      <c r="BE2" s="4">
        <v>3682500</v>
      </c>
      <c r="BF2" s="4">
        <v>368250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144840</v>
      </c>
      <c r="BR2" s="4">
        <v>0</v>
      </c>
      <c r="BS2" s="4">
        <v>169430</v>
      </c>
      <c r="BT2" s="4">
        <v>185000</v>
      </c>
      <c r="BU2" s="4">
        <v>8838</v>
      </c>
      <c r="BV2" s="4">
        <v>26514</v>
      </c>
      <c r="BW2" s="4">
        <v>0</v>
      </c>
      <c r="BX2" s="4">
        <v>28</v>
      </c>
      <c r="BY2" s="4">
        <v>4585400</v>
      </c>
      <c r="BZ2" s="4">
        <v>42358</v>
      </c>
      <c r="CA2" s="4">
        <v>169430</v>
      </c>
      <c r="CB2" s="4">
        <v>324060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8838</v>
      </c>
      <c r="CL2" s="4">
        <v>26514</v>
      </c>
      <c r="CM2" s="4">
        <v>0</v>
      </c>
      <c r="CN2" s="4">
        <v>0</v>
      </c>
      <c r="CO2" s="4">
        <v>571200</v>
      </c>
      <c r="CP2" s="4">
        <v>4014200</v>
      </c>
      <c r="CQ2" s="4" t="s">
        <v>0</v>
      </c>
      <c r="CR2" s="4">
        <v>15</v>
      </c>
      <c r="CS2" s="4">
        <v>0</v>
      </c>
      <c r="CT2" s="4">
        <v>2</v>
      </c>
      <c r="CU2" s="4" t="s">
        <v>18</v>
      </c>
      <c r="CV2" s="4" t="s">
        <v>17</v>
      </c>
      <c r="CW2" s="4" t="s">
        <v>200</v>
      </c>
    </row>
    <row r="3" spans="1:101" s="4" customFormat="1" x14ac:dyDescent="0.2">
      <c r="A3" s="3">
        <v>46204</v>
      </c>
      <c r="B3" s="4" t="s">
        <v>199</v>
      </c>
      <c r="C3" s="4" t="s">
        <v>198</v>
      </c>
      <c r="D3" s="4" t="s">
        <v>0</v>
      </c>
      <c r="E3" s="4" t="s">
        <v>0</v>
      </c>
      <c r="F3" s="4">
        <v>1</v>
      </c>
      <c r="G3" s="4" t="s">
        <v>29</v>
      </c>
      <c r="H3" s="3">
        <v>25460</v>
      </c>
      <c r="I3" s="4">
        <v>1</v>
      </c>
      <c r="J3" s="4" t="s">
        <v>54</v>
      </c>
      <c r="K3" s="3">
        <v>33298</v>
      </c>
      <c r="L3" s="3">
        <v>33298</v>
      </c>
      <c r="M3" s="4">
        <v>30</v>
      </c>
      <c r="N3" s="4">
        <v>0</v>
      </c>
      <c r="O3" s="3">
        <v>45839</v>
      </c>
      <c r="P3" s="3">
        <v>43160</v>
      </c>
      <c r="Q3" s="4">
        <v>58</v>
      </c>
      <c r="R3" s="4" t="s">
        <v>0</v>
      </c>
      <c r="S3" s="4" t="s">
        <v>10</v>
      </c>
      <c r="T3" s="4" t="s">
        <v>9</v>
      </c>
      <c r="U3" s="4" t="s">
        <v>23</v>
      </c>
      <c r="V3" s="4" t="s">
        <v>22</v>
      </c>
      <c r="W3" s="4" t="s">
        <v>197</v>
      </c>
      <c r="X3" s="4" t="s">
        <v>3</v>
      </c>
      <c r="Y3" s="4" t="s">
        <v>4</v>
      </c>
      <c r="Z3" s="4" t="s">
        <v>8</v>
      </c>
      <c r="AA3" s="4" t="s">
        <v>7</v>
      </c>
      <c r="AB3" s="4" t="s">
        <v>196</v>
      </c>
      <c r="AC3" s="4" t="s">
        <v>195</v>
      </c>
      <c r="AD3" s="4" t="s">
        <v>194</v>
      </c>
      <c r="AE3" s="4" t="s">
        <v>6</v>
      </c>
      <c r="AF3" s="4" t="s">
        <v>193</v>
      </c>
      <c r="AG3" s="4">
        <v>1</v>
      </c>
      <c r="AH3" s="3">
        <v>46204</v>
      </c>
      <c r="AI3" s="4">
        <v>0</v>
      </c>
      <c r="AJ3" s="4">
        <v>1</v>
      </c>
      <c r="AK3" s="4">
        <v>1</v>
      </c>
      <c r="AL3" s="4">
        <v>0</v>
      </c>
      <c r="AM3" s="4">
        <v>4</v>
      </c>
      <c r="AO3" s="4" t="s">
        <v>56</v>
      </c>
      <c r="AP3" s="4">
        <v>30</v>
      </c>
      <c r="AQ3" s="4">
        <v>100</v>
      </c>
      <c r="AR3" s="3">
        <v>45292</v>
      </c>
      <c r="AS3" s="4" t="s">
        <v>4</v>
      </c>
      <c r="AT3" s="4" t="s">
        <v>2</v>
      </c>
      <c r="AU3" s="4" t="s">
        <v>3</v>
      </c>
      <c r="AV3" s="4">
        <v>0</v>
      </c>
      <c r="AW3" s="4">
        <v>2</v>
      </c>
      <c r="AX3" s="4">
        <v>0</v>
      </c>
      <c r="AY3" s="4" t="s">
        <v>3</v>
      </c>
      <c r="AZ3" s="4">
        <v>0</v>
      </c>
      <c r="BA3" s="4" t="s">
        <v>2</v>
      </c>
      <c r="BB3" s="4" t="s">
        <v>1</v>
      </c>
      <c r="BC3" s="4" t="s">
        <v>1</v>
      </c>
      <c r="BD3" s="4" t="s">
        <v>1</v>
      </c>
      <c r="BE3" s="4">
        <v>4818700</v>
      </c>
      <c r="BF3" s="4">
        <v>481870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144840</v>
      </c>
      <c r="BR3" s="4">
        <v>14076</v>
      </c>
      <c r="BS3" s="4">
        <v>219423</v>
      </c>
      <c r="BT3" s="4">
        <v>185000</v>
      </c>
      <c r="BU3" s="4">
        <v>11565</v>
      </c>
      <c r="BV3" s="4">
        <v>34695</v>
      </c>
      <c r="BW3" s="4">
        <v>0</v>
      </c>
      <c r="BX3" s="4">
        <v>92</v>
      </c>
      <c r="BY3" s="4">
        <v>5910261</v>
      </c>
      <c r="BZ3" s="4">
        <v>54856</v>
      </c>
      <c r="CA3" s="4">
        <v>219423</v>
      </c>
      <c r="CB3" s="4">
        <v>424046</v>
      </c>
      <c r="CC3" s="4">
        <v>14076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11565</v>
      </c>
      <c r="CL3" s="4">
        <v>34695</v>
      </c>
      <c r="CM3" s="4">
        <v>0</v>
      </c>
      <c r="CN3" s="4">
        <v>0</v>
      </c>
      <c r="CO3" s="4">
        <v>758661</v>
      </c>
      <c r="CP3" s="4">
        <v>5151600</v>
      </c>
      <c r="CQ3" s="4" t="s">
        <v>0</v>
      </c>
      <c r="CR3" s="4">
        <v>8</v>
      </c>
      <c r="CS3" s="4">
        <v>0</v>
      </c>
      <c r="CT3" s="4">
        <v>2</v>
      </c>
      <c r="CU3" s="4" t="s">
        <v>18</v>
      </c>
      <c r="CV3" s="4" t="s">
        <v>17</v>
      </c>
      <c r="CW3" s="4" t="s">
        <v>192</v>
      </c>
    </row>
    <row r="4" spans="1:101" s="9" customFormat="1" x14ac:dyDescent="0.2">
      <c r="A4" s="8">
        <v>46204</v>
      </c>
      <c r="B4" s="9" t="s">
        <v>191</v>
      </c>
      <c r="C4" s="9" t="s">
        <v>190</v>
      </c>
      <c r="D4" s="9" t="s">
        <v>0</v>
      </c>
      <c r="E4" s="9" t="s">
        <v>0</v>
      </c>
      <c r="F4" s="9">
        <v>1</v>
      </c>
      <c r="G4" s="9" t="s">
        <v>12</v>
      </c>
      <c r="H4" s="8">
        <v>25876</v>
      </c>
      <c r="I4" s="9">
        <v>1</v>
      </c>
      <c r="J4" s="9" t="s">
        <v>54</v>
      </c>
      <c r="K4" s="8">
        <v>33664</v>
      </c>
      <c r="L4" s="8">
        <v>33664</v>
      </c>
      <c r="M4" s="9">
        <v>29</v>
      </c>
      <c r="N4" s="9">
        <v>0</v>
      </c>
      <c r="O4" s="8">
        <v>46082</v>
      </c>
      <c r="P4" s="8">
        <v>46447</v>
      </c>
      <c r="Q4" s="9">
        <v>58</v>
      </c>
      <c r="R4" s="9" t="s">
        <v>0</v>
      </c>
      <c r="S4" s="9" t="s">
        <v>10</v>
      </c>
      <c r="T4" s="9" t="s">
        <v>9</v>
      </c>
      <c r="U4" s="9" t="s">
        <v>23</v>
      </c>
      <c r="V4" s="9" t="s">
        <v>22</v>
      </c>
      <c r="W4" s="9" t="s">
        <v>189</v>
      </c>
      <c r="X4" s="9" t="s">
        <v>3</v>
      </c>
      <c r="Y4" s="9" t="s">
        <v>4</v>
      </c>
      <c r="Z4" s="9" t="s">
        <v>8</v>
      </c>
      <c r="AA4" s="9" t="s">
        <v>7</v>
      </c>
      <c r="AB4" s="9" t="s">
        <v>188</v>
      </c>
      <c r="AC4" s="9" t="s">
        <v>187</v>
      </c>
      <c r="AD4" s="9" t="s">
        <v>186</v>
      </c>
      <c r="AE4" s="9" t="s">
        <v>6</v>
      </c>
      <c r="AF4" s="9" t="s">
        <v>185</v>
      </c>
      <c r="AG4" s="9">
        <v>1</v>
      </c>
      <c r="AH4" s="8">
        <v>46204</v>
      </c>
      <c r="AI4" s="9">
        <v>0</v>
      </c>
      <c r="AJ4" s="9">
        <v>1</v>
      </c>
      <c r="AK4" s="9">
        <v>1</v>
      </c>
      <c r="AL4" s="9">
        <v>0</v>
      </c>
      <c r="AM4" s="9">
        <v>4</v>
      </c>
      <c r="AO4" s="9" t="s">
        <v>102</v>
      </c>
      <c r="AP4" s="9">
        <v>29</v>
      </c>
      <c r="AQ4" s="9">
        <v>100</v>
      </c>
      <c r="AR4" s="8">
        <v>45292</v>
      </c>
      <c r="AS4" s="9" t="s">
        <v>99</v>
      </c>
      <c r="AT4" s="9" t="s">
        <v>2</v>
      </c>
      <c r="AU4" s="9" t="s">
        <v>3</v>
      </c>
      <c r="AV4" s="9">
        <v>0</v>
      </c>
      <c r="AW4" s="9">
        <v>2</v>
      </c>
      <c r="AX4" s="9">
        <v>0</v>
      </c>
      <c r="AY4" s="9" t="s">
        <v>3</v>
      </c>
      <c r="AZ4" s="9">
        <v>0</v>
      </c>
      <c r="BA4" s="9" t="s">
        <v>2</v>
      </c>
      <c r="BB4" s="9" t="s">
        <v>1</v>
      </c>
      <c r="BC4" s="9" t="s">
        <v>1</v>
      </c>
      <c r="BD4" s="9" t="s">
        <v>1</v>
      </c>
      <c r="BE4" s="9">
        <v>5513600</v>
      </c>
      <c r="BF4" s="9">
        <v>551360</v>
      </c>
      <c r="BG4" s="9">
        <v>0</v>
      </c>
      <c r="BH4" s="9">
        <v>0</v>
      </c>
      <c r="BI4" s="9">
        <v>2025000</v>
      </c>
      <c r="BJ4" s="9">
        <v>0</v>
      </c>
      <c r="BK4" s="9">
        <v>0</v>
      </c>
      <c r="BL4" s="9">
        <v>0</v>
      </c>
      <c r="BM4" s="9">
        <v>0</v>
      </c>
      <c r="BN4" s="9">
        <v>0</v>
      </c>
      <c r="BO4" s="9">
        <v>0</v>
      </c>
      <c r="BP4" s="9">
        <v>0</v>
      </c>
      <c r="BQ4" s="9">
        <v>144840</v>
      </c>
      <c r="BR4" s="9">
        <v>123522</v>
      </c>
      <c r="BS4" s="9">
        <v>323598</v>
      </c>
      <c r="BT4" s="9">
        <v>0</v>
      </c>
      <c r="BU4" s="9">
        <v>13233</v>
      </c>
      <c r="BV4" s="9">
        <v>39698</v>
      </c>
      <c r="BW4" s="9">
        <v>0</v>
      </c>
      <c r="BX4" s="9">
        <v>97</v>
      </c>
      <c r="BY4" s="9">
        <v>8734948</v>
      </c>
      <c r="BZ4" s="9">
        <v>80900</v>
      </c>
      <c r="CA4" s="9">
        <v>323598</v>
      </c>
      <c r="CB4" s="9">
        <v>485197</v>
      </c>
      <c r="CC4" s="9">
        <v>123522</v>
      </c>
      <c r="CD4" s="9">
        <v>0</v>
      </c>
      <c r="CE4" s="9">
        <v>0</v>
      </c>
      <c r="CF4" s="9">
        <v>0</v>
      </c>
      <c r="CG4" s="9">
        <v>0</v>
      </c>
      <c r="CH4" s="9">
        <v>0</v>
      </c>
      <c r="CI4" s="9">
        <v>0</v>
      </c>
      <c r="CJ4" s="9">
        <v>0</v>
      </c>
      <c r="CK4" s="9">
        <v>13233</v>
      </c>
      <c r="CL4" s="9">
        <v>39698</v>
      </c>
      <c r="CM4" s="9">
        <v>0</v>
      </c>
      <c r="CN4" s="9">
        <v>0</v>
      </c>
      <c r="CO4" s="9">
        <v>1066148</v>
      </c>
      <c r="CP4" s="9">
        <v>7668800</v>
      </c>
      <c r="CQ4" s="9" t="s">
        <v>0</v>
      </c>
      <c r="CR4" s="9">
        <v>1</v>
      </c>
      <c r="CS4" s="9">
        <v>0</v>
      </c>
      <c r="CT4" s="9">
        <v>2</v>
      </c>
      <c r="CU4" s="9" t="s">
        <v>18</v>
      </c>
      <c r="CV4" s="9" t="s">
        <v>17</v>
      </c>
      <c r="CW4" s="9" t="s">
        <v>184</v>
      </c>
    </row>
    <row r="5" spans="1:101" s="4" customFormat="1" x14ac:dyDescent="0.2">
      <c r="A5" s="3">
        <v>46204</v>
      </c>
      <c r="B5" s="4" t="s">
        <v>183</v>
      </c>
      <c r="C5" s="4" t="s">
        <v>138</v>
      </c>
      <c r="D5" s="4" t="s">
        <v>0</v>
      </c>
      <c r="E5" s="4" t="s">
        <v>0</v>
      </c>
      <c r="F5" s="4">
        <v>1</v>
      </c>
      <c r="G5" s="4" t="s">
        <v>12</v>
      </c>
      <c r="H5" s="3">
        <v>26158</v>
      </c>
      <c r="I5" s="4">
        <v>1</v>
      </c>
      <c r="J5" s="4" t="s">
        <v>54</v>
      </c>
      <c r="K5" s="3">
        <v>34029</v>
      </c>
      <c r="L5" s="3">
        <v>34029</v>
      </c>
      <c r="M5" s="4">
        <v>28</v>
      </c>
      <c r="N5" s="4">
        <v>0</v>
      </c>
      <c r="O5" s="3">
        <v>45839</v>
      </c>
      <c r="P5" s="3">
        <v>43070</v>
      </c>
      <c r="Q5" s="4">
        <v>58</v>
      </c>
      <c r="R5" s="4" t="s">
        <v>0</v>
      </c>
      <c r="S5" s="4" t="s">
        <v>10</v>
      </c>
      <c r="T5" s="4" t="s">
        <v>9</v>
      </c>
      <c r="U5" s="4" t="s">
        <v>23</v>
      </c>
      <c r="V5" s="4" t="s">
        <v>22</v>
      </c>
      <c r="W5" s="4" t="s">
        <v>182</v>
      </c>
      <c r="X5" s="4" t="s">
        <v>3</v>
      </c>
      <c r="Y5" s="4" t="s">
        <v>4</v>
      </c>
      <c r="Z5" s="4" t="s">
        <v>8</v>
      </c>
      <c r="AA5" s="4" t="s">
        <v>7</v>
      </c>
      <c r="AB5" s="4" t="s">
        <v>181</v>
      </c>
      <c r="AC5" s="4" t="s">
        <v>180</v>
      </c>
      <c r="AD5" s="4" t="s">
        <v>179</v>
      </c>
      <c r="AE5" s="4" t="s">
        <v>6</v>
      </c>
      <c r="AF5" s="4" t="s">
        <v>178</v>
      </c>
      <c r="AG5" s="4">
        <v>1</v>
      </c>
      <c r="AH5" s="3">
        <v>46204</v>
      </c>
      <c r="AI5" s="4">
        <v>0</v>
      </c>
      <c r="AJ5" s="4">
        <v>1</v>
      </c>
      <c r="AK5" s="4">
        <v>1</v>
      </c>
      <c r="AL5" s="4">
        <v>2</v>
      </c>
      <c r="AM5" s="4">
        <v>4</v>
      </c>
      <c r="AO5" s="4" t="s">
        <v>30</v>
      </c>
      <c r="AP5" s="4">
        <v>28</v>
      </c>
      <c r="AQ5" s="4">
        <v>100</v>
      </c>
      <c r="AR5" s="3">
        <v>45292</v>
      </c>
      <c r="AS5" s="4" t="s">
        <v>4</v>
      </c>
      <c r="AT5" s="4" t="s">
        <v>2</v>
      </c>
      <c r="AU5" s="4" t="s">
        <v>3</v>
      </c>
      <c r="AV5" s="4">
        <v>0</v>
      </c>
      <c r="AW5" s="4">
        <v>2</v>
      </c>
      <c r="AX5" s="4">
        <v>0</v>
      </c>
      <c r="AY5" s="4" t="s">
        <v>3</v>
      </c>
      <c r="AZ5" s="4">
        <v>0</v>
      </c>
      <c r="BA5" s="4" t="s">
        <v>2</v>
      </c>
      <c r="BB5" s="4" t="s">
        <v>1</v>
      </c>
      <c r="BC5" s="4" t="s">
        <v>1</v>
      </c>
      <c r="BD5" s="4" t="s">
        <v>1</v>
      </c>
      <c r="BE5" s="4">
        <v>4482000</v>
      </c>
      <c r="BF5" s="4">
        <v>448200</v>
      </c>
      <c r="BG5" s="4">
        <v>179280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289680</v>
      </c>
      <c r="BR5" s="4">
        <v>0</v>
      </c>
      <c r="BS5" s="4">
        <v>211779</v>
      </c>
      <c r="BT5" s="4">
        <v>185000</v>
      </c>
      <c r="BU5" s="4">
        <v>10757</v>
      </c>
      <c r="BV5" s="4">
        <v>32270</v>
      </c>
      <c r="BW5" s="4">
        <v>0</v>
      </c>
      <c r="BX5" s="4">
        <v>43</v>
      </c>
      <c r="BY5" s="4">
        <v>5839009</v>
      </c>
      <c r="BZ5" s="4">
        <v>52945</v>
      </c>
      <c r="CA5" s="4">
        <v>211779</v>
      </c>
      <c r="CB5" s="4">
        <v>408758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10757</v>
      </c>
      <c r="CL5" s="4">
        <v>32270</v>
      </c>
      <c r="CM5" s="4">
        <v>0</v>
      </c>
      <c r="CN5" s="4">
        <v>0</v>
      </c>
      <c r="CO5" s="4">
        <v>716509</v>
      </c>
      <c r="CP5" s="4">
        <v>5122500</v>
      </c>
      <c r="CQ5" s="4" t="s">
        <v>0</v>
      </c>
      <c r="CR5" s="4">
        <v>12</v>
      </c>
      <c r="CS5" s="4">
        <v>0</v>
      </c>
      <c r="CT5" s="4">
        <v>2</v>
      </c>
      <c r="CU5" s="4" t="s">
        <v>18</v>
      </c>
      <c r="CV5" s="4" t="s">
        <v>17</v>
      </c>
      <c r="CW5" s="4" t="s">
        <v>177</v>
      </c>
    </row>
    <row r="6" spans="1:101" s="4" customFormat="1" x14ac:dyDescent="0.2">
      <c r="A6" s="3">
        <v>46204</v>
      </c>
      <c r="B6" s="4" t="s">
        <v>176</v>
      </c>
      <c r="C6" s="4" t="s">
        <v>175</v>
      </c>
      <c r="D6" s="4" t="s">
        <v>0</v>
      </c>
      <c r="E6" s="4" t="s">
        <v>0</v>
      </c>
      <c r="F6" s="4">
        <v>1</v>
      </c>
      <c r="G6" s="4" t="s">
        <v>12</v>
      </c>
      <c r="H6" s="3">
        <v>26500</v>
      </c>
      <c r="I6" s="4">
        <v>1</v>
      </c>
      <c r="J6" s="4" t="s">
        <v>82</v>
      </c>
      <c r="K6" s="3">
        <v>39814</v>
      </c>
      <c r="L6" s="3">
        <v>39814</v>
      </c>
      <c r="M6" s="4">
        <v>16</v>
      </c>
      <c r="N6" s="4">
        <v>0</v>
      </c>
      <c r="O6" s="3">
        <v>45200</v>
      </c>
      <c r="P6" s="3">
        <v>43070</v>
      </c>
      <c r="Q6" s="4">
        <v>58</v>
      </c>
      <c r="R6" s="4" t="s">
        <v>0</v>
      </c>
      <c r="S6" s="4" t="s">
        <v>10</v>
      </c>
      <c r="T6" s="4" t="s">
        <v>9</v>
      </c>
      <c r="U6" s="4" t="s">
        <v>23</v>
      </c>
      <c r="V6" s="4" t="s">
        <v>22</v>
      </c>
      <c r="W6" s="4" t="s">
        <v>174</v>
      </c>
      <c r="X6" s="4" t="s">
        <v>3</v>
      </c>
      <c r="Y6" s="4" t="s">
        <v>4</v>
      </c>
      <c r="Z6" s="4" t="s">
        <v>8</v>
      </c>
      <c r="AA6" s="4" t="s">
        <v>7</v>
      </c>
      <c r="AB6" s="4" t="s">
        <v>173</v>
      </c>
      <c r="AC6" s="4" t="s">
        <v>172</v>
      </c>
      <c r="AD6" s="4" t="s">
        <v>0</v>
      </c>
      <c r="AE6" s="4" t="s">
        <v>6</v>
      </c>
      <c r="AF6" s="4" t="s">
        <v>171</v>
      </c>
      <c r="AG6" s="4">
        <v>1</v>
      </c>
      <c r="AH6" s="3">
        <v>46204</v>
      </c>
      <c r="AI6" s="4">
        <v>0</v>
      </c>
      <c r="AJ6" s="4">
        <v>1</v>
      </c>
      <c r="AK6" s="4">
        <v>1</v>
      </c>
      <c r="AL6" s="4">
        <v>2</v>
      </c>
      <c r="AM6" s="4">
        <v>4</v>
      </c>
      <c r="AO6" s="4" t="s">
        <v>5</v>
      </c>
      <c r="AP6" s="4">
        <v>16</v>
      </c>
      <c r="AQ6" s="4">
        <v>100</v>
      </c>
      <c r="AR6" s="3">
        <v>45292</v>
      </c>
      <c r="AS6" s="4" t="s">
        <v>4</v>
      </c>
      <c r="AT6" s="4" t="s">
        <v>2</v>
      </c>
      <c r="AU6" s="4" t="s">
        <v>3</v>
      </c>
      <c r="AV6" s="4">
        <v>0</v>
      </c>
      <c r="AW6" s="4">
        <v>2</v>
      </c>
      <c r="AX6" s="4">
        <v>0</v>
      </c>
      <c r="AY6" s="4" t="s">
        <v>3</v>
      </c>
      <c r="AZ6" s="4">
        <v>0</v>
      </c>
      <c r="BA6" s="4" t="s">
        <v>2</v>
      </c>
      <c r="BB6" s="4" t="s">
        <v>1</v>
      </c>
      <c r="BC6" s="4" t="s">
        <v>1</v>
      </c>
      <c r="BD6" s="4" t="s">
        <v>1</v>
      </c>
      <c r="BE6" s="4">
        <v>3570100</v>
      </c>
      <c r="BF6" s="4">
        <v>357010</v>
      </c>
      <c r="BG6" s="4">
        <v>142804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289680</v>
      </c>
      <c r="BR6" s="4">
        <v>0</v>
      </c>
      <c r="BS6" s="4">
        <v>170197</v>
      </c>
      <c r="BT6" s="4">
        <v>185000</v>
      </c>
      <c r="BU6" s="4">
        <v>8568</v>
      </c>
      <c r="BV6" s="4">
        <v>25705</v>
      </c>
      <c r="BW6" s="4">
        <v>0</v>
      </c>
      <c r="BX6" s="4">
        <v>48</v>
      </c>
      <c r="BY6" s="4">
        <v>4749112</v>
      </c>
      <c r="BZ6" s="4">
        <v>42549</v>
      </c>
      <c r="CA6" s="4">
        <v>170197</v>
      </c>
      <c r="CB6" s="4">
        <v>325593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8568</v>
      </c>
      <c r="CL6" s="4">
        <v>25705</v>
      </c>
      <c r="CM6" s="4">
        <v>0</v>
      </c>
      <c r="CN6" s="4">
        <v>0</v>
      </c>
      <c r="CO6" s="4">
        <v>572612</v>
      </c>
      <c r="CP6" s="4">
        <v>4176500</v>
      </c>
      <c r="CQ6" s="4" t="s">
        <v>0</v>
      </c>
      <c r="CR6" s="4">
        <v>16</v>
      </c>
      <c r="CS6" s="4">
        <v>0</v>
      </c>
      <c r="CT6" s="4">
        <v>2</v>
      </c>
      <c r="CU6" s="4" t="s">
        <v>18</v>
      </c>
      <c r="CV6" s="4" t="s">
        <v>17</v>
      </c>
      <c r="CW6" s="4" t="s">
        <v>170</v>
      </c>
    </row>
    <row r="7" spans="1:101" s="4" customFormat="1" x14ac:dyDescent="0.2">
      <c r="A7" s="3">
        <v>46204</v>
      </c>
      <c r="B7" s="4" t="s">
        <v>169</v>
      </c>
      <c r="C7" s="4" t="s">
        <v>168</v>
      </c>
      <c r="D7" s="4" t="s">
        <v>0</v>
      </c>
      <c r="E7" s="4" t="s">
        <v>0</v>
      </c>
      <c r="F7" s="4">
        <v>1</v>
      </c>
      <c r="G7" s="4" t="s">
        <v>12</v>
      </c>
      <c r="H7" s="3">
        <v>26721</v>
      </c>
      <c r="I7" s="4">
        <v>1</v>
      </c>
      <c r="J7" s="4" t="s">
        <v>82</v>
      </c>
      <c r="K7" s="3">
        <v>39448</v>
      </c>
      <c r="L7" s="3">
        <v>39448</v>
      </c>
      <c r="M7" s="4">
        <v>18</v>
      </c>
      <c r="N7" s="4">
        <v>0</v>
      </c>
      <c r="O7" s="3">
        <v>46054</v>
      </c>
      <c r="P7" s="3">
        <v>43132</v>
      </c>
      <c r="Q7" s="4">
        <v>58</v>
      </c>
      <c r="R7" s="4" t="s">
        <v>0</v>
      </c>
      <c r="S7" s="4" t="s">
        <v>10</v>
      </c>
      <c r="T7" s="4" t="s">
        <v>9</v>
      </c>
      <c r="U7" s="4" t="s">
        <v>23</v>
      </c>
      <c r="V7" s="4" t="s">
        <v>22</v>
      </c>
      <c r="W7" s="4" t="s">
        <v>167</v>
      </c>
      <c r="X7" s="4" t="s">
        <v>3</v>
      </c>
      <c r="Y7" s="4" t="s">
        <v>4</v>
      </c>
      <c r="Z7" s="4" t="s">
        <v>8</v>
      </c>
      <c r="AA7" s="4" t="s">
        <v>7</v>
      </c>
      <c r="AB7" s="4" t="s">
        <v>166</v>
      </c>
      <c r="AC7" s="4" t="s">
        <v>165</v>
      </c>
      <c r="AD7" s="4" t="s">
        <v>164</v>
      </c>
      <c r="AE7" s="4" t="s">
        <v>6</v>
      </c>
      <c r="AF7" s="4" t="s">
        <v>163</v>
      </c>
      <c r="AG7" s="4">
        <v>1</v>
      </c>
      <c r="AH7" s="3">
        <v>46204</v>
      </c>
      <c r="AI7" s="4">
        <v>0</v>
      </c>
      <c r="AJ7" s="4">
        <v>1</v>
      </c>
      <c r="AK7" s="4">
        <v>1</v>
      </c>
      <c r="AL7" s="4">
        <v>2</v>
      </c>
      <c r="AM7" s="4">
        <v>4</v>
      </c>
      <c r="AO7" s="4" t="s">
        <v>30</v>
      </c>
      <c r="AP7" s="4">
        <v>18</v>
      </c>
      <c r="AQ7" s="4">
        <v>100</v>
      </c>
      <c r="AR7" s="3">
        <v>45292</v>
      </c>
      <c r="AS7" s="4" t="s">
        <v>4</v>
      </c>
      <c r="AT7" s="4" t="s">
        <v>162</v>
      </c>
      <c r="AU7" s="4" t="s">
        <v>3</v>
      </c>
      <c r="AV7" s="4">
        <v>0</v>
      </c>
      <c r="AW7" s="4">
        <v>2</v>
      </c>
      <c r="AX7" s="4">
        <v>0</v>
      </c>
      <c r="AY7" s="4" t="s">
        <v>3</v>
      </c>
      <c r="AZ7" s="4">
        <v>0</v>
      </c>
      <c r="BA7" s="4" t="s">
        <v>2</v>
      </c>
      <c r="BB7" s="4" t="s">
        <v>1</v>
      </c>
      <c r="BC7" s="4" t="s">
        <v>1</v>
      </c>
      <c r="BD7" s="4" t="s">
        <v>1</v>
      </c>
      <c r="BE7" s="4">
        <v>3838300</v>
      </c>
      <c r="BF7" s="4">
        <v>383830</v>
      </c>
      <c r="BG7" s="4">
        <v>153532</v>
      </c>
      <c r="BH7" s="4">
        <v>0</v>
      </c>
      <c r="BI7" s="4">
        <v>0</v>
      </c>
      <c r="BJ7" s="4">
        <v>420000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289680</v>
      </c>
      <c r="BR7" s="4">
        <v>0</v>
      </c>
      <c r="BS7" s="4">
        <v>191826</v>
      </c>
      <c r="BT7" s="4">
        <v>0</v>
      </c>
      <c r="BU7" s="4">
        <v>9212</v>
      </c>
      <c r="BV7" s="4">
        <v>27636</v>
      </c>
      <c r="BW7" s="4">
        <v>0</v>
      </c>
      <c r="BX7" s="4">
        <v>68</v>
      </c>
      <c r="BY7" s="4">
        <v>5314084</v>
      </c>
      <c r="BZ7" s="4">
        <v>47957</v>
      </c>
      <c r="CA7" s="4">
        <v>191826</v>
      </c>
      <c r="CB7" s="4">
        <v>350053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9212</v>
      </c>
      <c r="CL7" s="4">
        <v>27636</v>
      </c>
      <c r="CM7" s="4">
        <v>0</v>
      </c>
      <c r="CN7" s="4">
        <v>0</v>
      </c>
      <c r="CO7" s="4">
        <v>626684</v>
      </c>
      <c r="CP7" s="4">
        <v>4687400</v>
      </c>
      <c r="CQ7" s="4" t="s">
        <v>0</v>
      </c>
      <c r="CR7" s="4">
        <v>11</v>
      </c>
      <c r="CS7" s="4">
        <v>0</v>
      </c>
      <c r="CT7" s="4">
        <v>2</v>
      </c>
      <c r="CU7" s="4" t="s">
        <v>18</v>
      </c>
      <c r="CV7" s="4" t="s">
        <v>17</v>
      </c>
      <c r="CW7" s="4" t="s">
        <v>161</v>
      </c>
    </row>
    <row r="8" spans="1:101" s="4" customFormat="1" x14ac:dyDescent="0.2">
      <c r="A8" s="3">
        <v>46204</v>
      </c>
      <c r="B8" s="4" t="s">
        <v>160</v>
      </c>
      <c r="C8" s="4" t="s">
        <v>159</v>
      </c>
      <c r="D8" s="4" t="s">
        <v>0</v>
      </c>
      <c r="E8" s="4" t="s">
        <v>0</v>
      </c>
      <c r="F8" s="4">
        <v>1</v>
      </c>
      <c r="G8" s="4" t="s">
        <v>12</v>
      </c>
      <c r="H8" s="3">
        <v>26757</v>
      </c>
      <c r="I8" s="4">
        <v>1</v>
      </c>
      <c r="J8" s="4" t="s">
        <v>54</v>
      </c>
      <c r="K8" s="3">
        <v>33664</v>
      </c>
      <c r="L8" s="3">
        <v>33664</v>
      </c>
      <c r="M8" s="4">
        <v>28</v>
      </c>
      <c r="N8" s="4">
        <v>0</v>
      </c>
      <c r="O8" s="3">
        <v>45566</v>
      </c>
      <c r="P8" s="3">
        <v>43374</v>
      </c>
      <c r="Q8" s="4">
        <v>58</v>
      </c>
      <c r="R8" s="4" t="s">
        <v>0</v>
      </c>
      <c r="S8" s="4" t="s">
        <v>10</v>
      </c>
      <c r="T8" s="4" t="s">
        <v>9</v>
      </c>
      <c r="U8" s="4" t="s">
        <v>23</v>
      </c>
      <c r="V8" s="4" t="s">
        <v>22</v>
      </c>
      <c r="W8" s="4" t="s">
        <v>158</v>
      </c>
      <c r="X8" s="4" t="s">
        <v>3</v>
      </c>
      <c r="Y8" s="4" t="s">
        <v>4</v>
      </c>
      <c r="Z8" s="4" t="s">
        <v>8</v>
      </c>
      <c r="AA8" s="4" t="s">
        <v>7</v>
      </c>
      <c r="AB8" s="4" t="s">
        <v>157</v>
      </c>
      <c r="AC8" s="4" t="s">
        <v>146</v>
      </c>
      <c r="AD8" s="4" t="s">
        <v>156</v>
      </c>
      <c r="AE8" s="4" t="s">
        <v>6</v>
      </c>
      <c r="AF8" s="4" t="s">
        <v>155</v>
      </c>
      <c r="AG8" s="4">
        <v>1</v>
      </c>
      <c r="AH8" s="3">
        <v>46204</v>
      </c>
      <c r="AI8" s="4">
        <v>0</v>
      </c>
      <c r="AJ8" s="4">
        <v>1</v>
      </c>
      <c r="AK8" s="4">
        <v>1</v>
      </c>
      <c r="AL8" s="4">
        <v>2</v>
      </c>
      <c r="AM8" s="4">
        <v>4</v>
      </c>
      <c r="AO8" s="4" t="s">
        <v>57</v>
      </c>
      <c r="AP8" s="4">
        <v>28</v>
      </c>
      <c r="AQ8" s="4">
        <v>100</v>
      </c>
      <c r="AR8" s="3">
        <v>45292</v>
      </c>
      <c r="AS8" s="4" t="s">
        <v>5</v>
      </c>
      <c r="AT8" s="4" t="s">
        <v>2</v>
      </c>
      <c r="AU8" s="4" t="s">
        <v>3</v>
      </c>
      <c r="AV8" s="4">
        <v>0</v>
      </c>
      <c r="AW8" s="4">
        <v>2</v>
      </c>
      <c r="AX8" s="4">
        <v>0</v>
      </c>
      <c r="AY8" s="4" t="s">
        <v>3</v>
      </c>
      <c r="AZ8" s="4">
        <v>0</v>
      </c>
      <c r="BA8" s="4" t="s">
        <v>2</v>
      </c>
      <c r="BB8" s="4" t="s">
        <v>1</v>
      </c>
      <c r="BC8" s="4" t="s">
        <v>1</v>
      </c>
      <c r="BD8" s="4" t="s">
        <v>1</v>
      </c>
      <c r="BE8" s="4">
        <v>5289800</v>
      </c>
      <c r="BF8" s="4">
        <v>528980</v>
      </c>
      <c r="BG8" s="4">
        <v>211592</v>
      </c>
      <c r="BH8" s="4">
        <v>0</v>
      </c>
      <c r="BI8" s="4">
        <v>1260000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289680</v>
      </c>
      <c r="BR8" s="4">
        <v>75801</v>
      </c>
      <c r="BS8" s="4">
        <v>291615</v>
      </c>
      <c r="BT8" s="4">
        <v>0</v>
      </c>
      <c r="BU8" s="4">
        <v>12696</v>
      </c>
      <c r="BV8" s="4">
        <v>38087</v>
      </c>
      <c r="BW8" s="4">
        <v>0</v>
      </c>
      <c r="BX8" s="4">
        <v>82</v>
      </c>
      <c r="BY8" s="4">
        <v>7998333</v>
      </c>
      <c r="BZ8" s="4">
        <v>72904</v>
      </c>
      <c r="CA8" s="4">
        <v>291615</v>
      </c>
      <c r="CB8" s="4">
        <v>482430</v>
      </c>
      <c r="CC8" s="4">
        <v>75801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12696</v>
      </c>
      <c r="CL8" s="4">
        <v>38087</v>
      </c>
      <c r="CM8" s="4">
        <v>0</v>
      </c>
      <c r="CN8" s="4">
        <v>0</v>
      </c>
      <c r="CO8" s="4">
        <v>973533</v>
      </c>
      <c r="CP8" s="4">
        <v>7024800</v>
      </c>
      <c r="CQ8" s="4" t="s">
        <v>0</v>
      </c>
      <c r="CR8" s="4">
        <v>2</v>
      </c>
      <c r="CS8" s="4">
        <v>0</v>
      </c>
      <c r="CT8" s="4">
        <v>2</v>
      </c>
      <c r="CU8" s="4" t="s">
        <v>18</v>
      </c>
      <c r="CV8" s="4" t="s">
        <v>17</v>
      </c>
      <c r="CW8" s="4" t="s">
        <v>154</v>
      </c>
    </row>
    <row r="9" spans="1:101" s="4" customFormat="1" x14ac:dyDescent="0.2">
      <c r="A9" s="3">
        <v>46204</v>
      </c>
      <c r="B9" s="4" t="s">
        <v>153</v>
      </c>
      <c r="C9" s="4" t="s">
        <v>152</v>
      </c>
      <c r="D9" s="4" t="s">
        <v>0</v>
      </c>
      <c r="E9" s="4" t="s">
        <v>0</v>
      </c>
      <c r="F9" s="4">
        <v>1</v>
      </c>
      <c r="G9" s="4" t="s">
        <v>12</v>
      </c>
      <c r="H9" s="3">
        <v>27927</v>
      </c>
      <c r="I9" s="4">
        <v>1</v>
      </c>
      <c r="J9" s="4" t="s">
        <v>82</v>
      </c>
      <c r="K9" s="3">
        <v>39814</v>
      </c>
      <c r="L9" s="3">
        <v>39814</v>
      </c>
      <c r="M9" s="4">
        <v>16</v>
      </c>
      <c r="N9" s="4">
        <v>0</v>
      </c>
      <c r="O9" s="3">
        <v>45748</v>
      </c>
      <c r="P9" s="3">
        <v>43497</v>
      </c>
      <c r="Q9" s="4">
        <v>58</v>
      </c>
      <c r="R9" s="4" t="s">
        <v>0</v>
      </c>
      <c r="S9" s="4" t="s">
        <v>10</v>
      </c>
      <c r="T9" s="4" t="s">
        <v>9</v>
      </c>
      <c r="U9" s="4" t="s">
        <v>23</v>
      </c>
      <c r="V9" s="4" t="s">
        <v>22</v>
      </c>
      <c r="W9" s="4" t="s">
        <v>151</v>
      </c>
      <c r="X9" s="4" t="s">
        <v>3</v>
      </c>
      <c r="Y9" s="4" t="s">
        <v>4</v>
      </c>
      <c r="Z9" s="4" t="s">
        <v>8</v>
      </c>
      <c r="AA9" s="4" t="s">
        <v>7</v>
      </c>
      <c r="AB9" s="4" t="s">
        <v>150</v>
      </c>
      <c r="AC9" s="4" t="s">
        <v>149</v>
      </c>
      <c r="AD9" s="4" t="s">
        <v>0</v>
      </c>
      <c r="AE9" s="4" t="s">
        <v>6</v>
      </c>
      <c r="AF9" s="4" t="s">
        <v>148</v>
      </c>
      <c r="AG9" s="4">
        <v>1</v>
      </c>
      <c r="AH9" s="3">
        <v>46204</v>
      </c>
      <c r="AI9" s="4">
        <v>0</v>
      </c>
      <c r="AJ9" s="4">
        <v>1</v>
      </c>
      <c r="AK9" s="4">
        <v>1</v>
      </c>
      <c r="AL9" s="4">
        <v>1</v>
      </c>
      <c r="AM9" s="4">
        <v>4</v>
      </c>
      <c r="AO9" s="4" t="s">
        <v>5</v>
      </c>
      <c r="AP9" s="4">
        <v>16</v>
      </c>
      <c r="AQ9" s="4">
        <v>100</v>
      </c>
      <c r="AR9" s="3">
        <v>45292</v>
      </c>
      <c r="AS9" s="4" t="s">
        <v>4</v>
      </c>
      <c r="AT9" s="4" t="s">
        <v>2</v>
      </c>
      <c r="AU9" s="4" t="s">
        <v>3</v>
      </c>
      <c r="AV9" s="4">
        <v>0</v>
      </c>
      <c r="AW9" s="4">
        <v>2</v>
      </c>
      <c r="AX9" s="4">
        <v>0</v>
      </c>
      <c r="AY9" s="4" t="s">
        <v>3</v>
      </c>
      <c r="AZ9" s="4">
        <v>0</v>
      </c>
      <c r="BA9" s="4" t="s">
        <v>2</v>
      </c>
      <c r="BB9" s="4" t="s">
        <v>1</v>
      </c>
      <c r="BC9" s="4" t="s">
        <v>1</v>
      </c>
      <c r="BD9" s="4" t="s">
        <v>1</v>
      </c>
      <c r="BE9" s="4">
        <v>3570100</v>
      </c>
      <c r="BF9" s="4">
        <v>357010</v>
      </c>
      <c r="BG9" s="4">
        <v>71402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217260</v>
      </c>
      <c r="BR9" s="4">
        <v>0</v>
      </c>
      <c r="BS9" s="4">
        <v>167340</v>
      </c>
      <c r="BT9" s="4">
        <v>185000</v>
      </c>
      <c r="BU9" s="4">
        <v>8568</v>
      </c>
      <c r="BV9" s="4">
        <v>25705</v>
      </c>
      <c r="BW9" s="4">
        <v>0</v>
      </c>
      <c r="BX9" s="4">
        <v>44</v>
      </c>
      <c r="BY9" s="4">
        <v>4602429</v>
      </c>
      <c r="BZ9" s="4">
        <v>41835</v>
      </c>
      <c r="CA9" s="4">
        <v>167340</v>
      </c>
      <c r="CB9" s="4">
        <v>319881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8568</v>
      </c>
      <c r="CL9" s="4">
        <v>25705</v>
      </c>
      <c r="CM9" s="4">
        <v>0</v>
      </c>
      <c r="CN9" s="4">
        <v>0</v>
      </c>
      <c r="CO9" s="4">
        <v>563329</v>
      </c>
      <c r="CP9" s="4">
        <v>4039100</v>
      </c>
      <c r="CQ9" s="4" t="s">
        <v>0</v>
      </c>
      <c r="CR9" s="4">
        <v>17</v>
      </c>
      <c r="CS9" s="4">
        <v>0</v>
      </c>
      <c r="CT9" s="4">
        <v>2</v>
      </c>
      <c r="CU9" s="4" t="s">
        <v>18</v>
      </c>
      <c r="CV9" s="4" t="s">
        <v>17</v>
      </c>
      <c r="CW9" s="4" t="s">
        <v>147</v>
      </c>
    </row>
    <row r="10" spans="1:101" s="4" customFormat="1" x14ac:dyDescent="0.2">
      <c r="A10" s="3">
        <v>46204</v>
      </c>
      <c r="B10" s="4" t="s">
        <v>145</v>
      </c>
      <c r="C10" s="4" t="s">
        <v>144</v>
      </c>
      <c r="D10" s="4" t="s">
        <v>0</v>
      </c>
      <c r="E10" s="4" t="s">
        <v>0</v>
      </c>
      <c r="F10" s="4">
        <v>1</v>
      </c>
      <c r="G10" s="4" t="s">
        <v>12</v>
      </c>
      <c r="H10" s="3">
        <v>28296</v>
      </c>
      <c r="I10" s="4">
        <v>1</v>
      </c>
      <c r="J10" s="4" t="s">
        <v>82</v>
      </c>
      <c r="K10" s="3">
        <v>40179</v>
      </c>
      <c r="L10" s="3">
        <v>40179</v>
      </c>
      <c r="M10" s="4">
        <v>16</v>
      </c>
      <c r="N10" s="4">
        <v>0</v>
      </c>
      <c r="O10" s="3">
        <v>45658</v>
      </c>
      <c r="P10" s="3">
        <v>43101</v>
      </c>
      <c r="Q10" s="4">
        <v>58</v>
      </c>
      <c r="R10" s="4" t="s">
        <v>0</v>
      </c>
      <c r="S10" s="4" t="s">
        <v>10</v>
      </c>
      <c r="T10" s="4" t="s">
        <v>9</v>
      </c>
      <c r="U10" s="4" t="s">
        <v>23</v>
      </c>
      <c r="V10" s="4" t="s">
        <v>22</v>
      </c>
      <c r="W10" s="4" t="s">
        <v>143</v>
      </c>
      <c r="X10" s="4" t="s">
        <v>3</v>
      </c>
      <c r="Y10" s="4" t="s">
        <v>4</v>
      </c>
      <c r="Z10" s="4" t="s">
        <v>8</v>
      </c>
      <c r="AA10" s="4" t="s">
        <v>7</v>
      </c>
      <c r="AB10" s="4" t="s">
        <v>142</v>
      </c>
      <c r="AC10" s="4" t="s">
        <v>141</v>
      </c>
      <c r="AD10" s="4" t="s">
        <v>0</v>
      </c>
      <c r="AE10" s="4" t="s">
        <v>6</v>
      </c>
      <c r="AF10" s="4" t="s">
        <v>140</v>
      </c>
      <c r="AG10" s="4">
        <v>1</v>
      </c>
      <c r="AH10" s="3">
        <v>46235</v>
      </c>
      <c r="AI10" s="4">
        <v>0</v>
      </c>
      <c r="AJ10" s="4">
        <v>1</v>
      </c>
      <c r="AK10" s="4">
        <v>0</v>
      </c>
      <c r="AL10" s="4">
        <v>2</v>
      </c>
      <c r="AM10" s="4">
        <v>4</v>
      </c>
      <c r="AO10" s="4" t="s">
        <v>30</v>
      </c>
      <c r="AP10" s="4">
        <v>16</v>
      </c>
      <c r="AQ10" s="4">
        <v>100</v>
      </c>
      <c r="AR10" s="3">
        <v>45292</v>
      </c>
      <c r="AS10" s="4" t="s">
        <v>4</v>
      </c>
      <c r="AT10" s="4" t="s">
        <v>2</v>
      </c>
      <c r="AU10" s="4" t="s">
        <v>3</v>
      </c>
      <c r="AV10" s="4">
        <v>0</v>
      </c>
      <c r="AW10" s="4">
        <v>2</v>
      </c>
      <c r="AX10" s="4">
        <v>0</v>
      </c>
      <c r="AY10" s="4" t="s">
        <v>3</v>
      </c>
      <c r="AZ10" s="4">
        <v>0</v>
      </c>
      <c r="BA10" s="4" t="s">
        <v>2</v>
      </c>
      <c r="BB10" s="4" t="s">
        <v>1</v>
      </c>
      <c r="BC10" s="4" t="s">
        <v>1</v>
      </c>
      <c r="BD10" s="4" t="s">
        <v>1</v>
      </c>
      <c r="BE10" s="4">
        <v>3721100</v>
      </c>
      <c r="BF10" s="4">
        <v>0</v>
      </c>
      <c r="BG10" s="4">
        <v>148844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217260</v>
      </c>
      <c r="BR10" s="4">
        <v>0</v>
      </c>
      <c r="BS10" s="4">
        <v>162198</v>
      </c>
      <c r="BT10" s="4">
        <v>185000</v>
      </c>
      <c r="BU10" s="4">
        <v>8931</v>
      </c>
      <c r="BV10" s="4">
        <v>26792</v>
      </c>
      <c r="BW10" s="4">
        <v>0</v>
      </c>
      <c r="BX10" s="4">
        <v>41</v>
      </c>
      <c r="BY10" s="4">
        <v>4470166</v>
      </c>
      <c r="BZ10" s="4">
        <v>40549</v>
      </c>
      <c r="CA10" s="4">
        <v>162198</v>
      </c>
      <c r="CB10" s="4">
        <v>309596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8931</v>
      </c>
      <c r="CL10" s="4">
        <v>26792</v>
      </c>
      <c r="CM10" s="4">
        <v>0</v>
      </c>
      <c r="CN10" s="4">
        <v>0</v>
      </c>
      <c r="CO10" s="4">
        <v>548066</v>
      </c>
      <c r="CP10" s="4">
        <v>3922100</v>
      </c>
      <c r="CQ10" s="4" t="s">
        <v>0</v>
      </c>
      <c r="CR10" s="4">
        <v>13</v>
      </c>
      <c r="CS10" s="4">
        <v>0</v>
      </c>
      <c r="CT10" s="4">
        <v>3</v>
      </c>
      <c r="CU10" s="4" t="s">
        <v>18</v>
      </c>
      <c r="CV10" s="4" t="s">
        <v>17</v>
      </c>
      <c r="CW10" s="4" t="s">
        <v>139</v>
      </c>
    </row>
    <row r="11" spans="1:101" s="4" customFormat="1" x14ac:dyDescent="0.2">
      <c r="A11" s="3">
        <v>46204</v>
      </c>
      <c r="B11" s="4" t="s">
        <v>137</v>
      </c>
      <c r="C11" s="4" t="s">
        <v>136</v>
      </c>
      <c r="D11" s="4" t="s">
        <v>0</v>
      </c>
      <c r="E11" s="4" t="s">
        <v>0</v>
      </c>
      <c r="F11" s="4">
        <v>2</v>
      </c>
      <c r="G11" s="4" t="s">
        <v>12</v>
      </c>
      <c r="H11" s="3">
        <v>28851</v>
      </c>
      <c r="I11" s="4">
        <v>1</v>
      </c>
      <c r="J11" s="4" t="s">
        <v>54</v>
      </c>
      <c r="K11" s="3">
        <v>39814</v>
      </c>
      <c r="L11" s="3">
        <v>39814</v>
      </c>
      <c r="M11" s="4">
        <v>22</v>
      </c>
      <c r="N11" s="4">
        <v>0</v>
      </c>
      <c r="O11" s="3">
        <v>45200</v>
      </c>
      <c r="P11" s="3">
        <v>43556</v>
      </c>
      <c r="Q11" s="4">
        <v>58</v>
      </c>
      <c r="R11" s="4" t="s">
        <v>0</v>
      </c>
      <c r="S11" s="4" t="s">
        <v>10</v>
      </c>
      <c r="T11" s="4" t="s">
        <v>9</v>
      </c>
      <c r="U11" s="4" t="s">
        <v>23</v>
      </c>
      <c r="V11" s="4" t="s">
        <v>22</v>
      </c>
      <c r="W11" s="4" t="s">
        <v>135</v>
      </c>
      <c r="X11" s="4" t="s">
        <v>3</v>
      </c>
      <c r="Y11" s="4" t="s">
        <v>4</v>
      </c>
      <c r="Z11" s="4" t="s">
        <v>8</v>
      </c>
      <c r="AA11" s="4" t="s">
        <v>7</v>
      </c>
      <c r="AB11" s="4" t="s">
        <v>134</v>
      </c>
      <c r="AC11" s="4" t="s">
        <v>133</v>
      </c>
      <c r="AD11" s="4" t="s">
        <v>0</v>
      </c>
      <c r="AE11" s="4" t="s">
        <v>6</v>
      </c>
      <c r="AF11" s="4" t="s">
        <v>132</v>
      </c>
      <c r="AG11" s="4">
        <v>1</v>
      </c>
      <c r="AH11" s="3">
        <v>46204</v>
      </c>
      <c r="AI11" s="4">
        <v>0</v>
      </c>
      <c r="AJ11" s="4">
        <v>1</v>
      </c>
      <c r="AK11" s="4">
        <v>1</v>
      </c>
      <c r="AL11" s="4">
        <v>1</v>
      </c>
      <c r="AM11" s="4">
        <v>4</v>
      </c>
      <c r="AO11" s="4" t="s">
        <v>55</v>
      </c>
      <c r="AP11" s="4">
        <v>22</v>
      </c>
      <c r="AQ11" s="4">
        <v>100</v>
      </c>
      <c r="AR11" s="3">
        <v>45292</v>
      </c>
      <c r="AS11" s="4" t="s">
        <v>30</v>
      </c>
      <c r="AT11" s="4" t="s">
        <v>2</v>
      </c>
      <c r="AU11" s="4" t="s">
        <v>3</v>
      </c>
      <c r="AV11" s="4">
        <v>0</v>
      </c>
      <c r="AW11" s="4">
        <v>2</v>
      </c>
      <c r="AX11" s="4">
        <v>0</v>
      </c>
      <c r="AY11" s="4" t="s">
        <v>3</v>
      </c>
      <c r="AZ11" s="4">
        <v>0</v>
      </c>
      <c r="BA11" s="4" t="s">
        <v>2</v>
      </c>
      <c r="BB11" s="4" t="s">
        <v>1</v>
      </c>
      <c r="BC11" s="4" t="s">
        <v>1</v>
      </c>
      <c r="BD11" s="4" t="s">
        <v>1</v>
      </c>
      <c r="BE11" s="4">
        <v>4624300</v>
      </c>
      <c r="BF11" s="4">
        <v>462430</v>
      </c>
      <c r="BG11" s="4">
        <v>92486</v>
      </c>
      <c r="BH11" s="4">
        <v>0</v>
      </c>
      <c r="BI11" s="4">
        <v>980000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217260</v>
      </c>
      <c r="BR11" s="4">
        <v>63765</v>
      </c>
      <c r="BS11" s="4">
        <v>246369</v>
      </c>
      <c r="BT11" s="4">
        <v>0</v>
      </c>
      <c r="BU11" s="4">
        <v>11098</v>
      </c>
      <c r="BV11" s="4">
        <v>33295</v>
      </c>
      <c r="BW11" s="4">
        <v>0</v>
      </c>
      <c r="BX11" s="4">
        <v>53</v>
      </c>
      <c r="BY11" s="4">
        <v>6731056</v>
      </c>
      <c r="BZ11" s="4">
        <v>61592</v>
      </c>
      <c r="CA11" s="4">
        <v>246369</v>
      </c>
      <c r="CB11" s="4">
        <v>414337</v>
      </c>
      <c r="CC11" s="4">
        <v>63765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11098</v>
      </c>
      <c r="CL11" s="4">
        <v>33295</v>
      </c>
      <c r="CM11" s="4">
        <v>0</v>
      </c>
      <c r="CN11" s="4">
        <v>0</v>
      </c>
      <c r="CO11" s="4">
        <v>830456</v>
      </c>
      <c r="CP11" s="4">
        <v>5900600</v>
      </c>
      <c r="CQ11" s="4" t="s">
        <v>0</v>
      </c>
      <c r="CR11" s="4">
        <v>3</v>
      </c>
      <c r="CS11" s="4">
        <v>0</v>
      </c>
      <c r="CT11" s="4">
        <v>2</v>
      </c>
      <c r="CU11" s="4" t="s">
        <v>18</v>
      </c>
      <c r="CV11" s="4" t="s">
        <v>17</v>
      </c>
      <c r="CW11" s="4" t="s">
        <v>131</v>
      </c>
    </row>
    <row r="12" spans="1:101" s="4" customFormat="1" x14ac:dyDescent="0.2">
      <c r="A12" s="3">
        <v>46204</v>
      </c>
      <c r="B12" s="4" t="s">
        <v>130</v>
      </c>
      <c r="C12" s="4" t="s">
        <v>100</v>
      </c>
      <c r="D12" s="4" t="s">
        <v>0</v>
      </c>
      <c r="E12" s="4" t="s">
        <v>0</v>
      </c>
      <c r="F12" s="4">
        <v>2</v>
      </c>
      <c r="G12" s="4" t="s">
        <v>12</v>
      </c>
      <c r="H12" s="3">
        <v>29022</v>
      </c>
      <c r="I12" s="4">
        <v>1</v>
      </c>
      <c r="J12" s="4" t="s">
        <v>82</v>
      </c>
      <c r="K12" s="3">
        <v>39814</v>
      </c>
      <c r="L12" s="3">
        <v>39814</v>
      </c>
      <c r="M12" s="4">
        <v>16</v>
      </c>
      <c r="N12" s="4">
        <v>0</v>
      </c>
      <c r="O12" s="3">
        <v>45748</v>
      </c>
      <c r="P12" s="3">
        <v>43466</v>
      </c>
      <c r="Q12" s="4">
        <v>58</v>
      </c>
      <c r="R12" s="4" t="s">
        <v>0</v>
      </c>
      <c r="S12" s="4" t="s">
        <v>10</v>
      </c>
      <c r="T12" s="4" t="s">
        <v>9</v>
      </c>
      <c r="U12" s="4" t="s">
        <v>23</v>
      </c>
      <c r="V12" s="4" t="s">
        <v>22</v>
      </c>
      <c r="W12" s="4" t="s">
        <v>129</v>
      </c>
      <c r="X12" s="4" t="s">
        <v>3</v>
      </c>
      <c r="Y12" s="4" t="s">
        <v>4</v>
      </c>
      <c r="Z12" s="4" t="s">
        <v>8</v>
      </c>
      <c r="AA12" s="4" t="s">
        <v>7</v>
      </c>
      <c r="AB12" s="4" t="s">
        <v>128</v>
      </c>
      <c r="AC12" s="4" t="s">
        <v>127</v>
      </c>
      <c r="AD12" s="4" t="s">
        <v>0</v>
      </c>
      <c r="AE12" s="4" t="s">
        <v>6</v>
      </c>
      <c r="AF12" s="4" t="s">
        <v>126</v>
      </c>
      <c r="AG12" s="4">
        <v>1</v>
      </c>
      <c r="AH12" s="3">
        <v>46204</v>
      </c>
      <c r="AI12" s="4">
        <v>0</v>
      </c>
      <c r="AJ12" s="4">
        <v>1</v>
      </c>
      <c r="AK12" s="4">
        <v>1</v>
      </c>
      <c r="AL12" s="4">
        <v>1</v>
      </c>
      <c r="AM12" s="4">
        <v>4</v>
      </c>
      <c r="AO12" s="4" t="s">
        <v>5</v>
      </c>
      <c r="AP12" s="4">
        <v>16</v>
      </c>
      <c r="AQ12" s="4">
        <v>100</v>
      </c>
      <c r="AR12" s="3">
        <v>45292</v>
      </c>
      <c r="AS12" s="4" t="s">
        <v>4</v>
      </c>
      <c r="AT12" s="4" t="s">
        <v>2</v>
      </c>
      <c r="AU12" s="4" t="s">
        <v>3</v>
      </c>
      <c r="AV12" s="4">
        <v>0</v>
      </c>
      <c r="AW12" s="4">
        <v>2</v>
      </c>
      <c r="AX12" s="4">
        <v>0</v>
      </c>
      <c r="AY12" s="4" t="s">
        <v>3</v>
      </c>
      <c r="AZ12" s="4">
        <v>0</v>
      </c>
      <c r="BA12" s="4" t="s">
        <v>2</v>
      </c>
      <c r="BB12" s="4" t="s">
        <v>1</v>
      </c>
      <c r="BC12" s="4" t="s">
        <v>1</v>
      </c>
      <c r="BD12" s="4" t="s">
        <v>1</v>
      </c>
      <c r="BE12" s="4">
        <v>3570100</v>
      </c>
      <c r="BF12" s="4">
        <v>357010</v>
      </c>
      <c r="BG12" s="4">
        <v>71402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217260</v>
      </c>
      <c r="BR12" s="4">
        <v>0</v>
      </c>
      <c r="BS12" s="4">
        <v>167340</v>
      </c>
      <c r="BT12" s="4">
        <v>185000</v>
      </c>
      <c r="BU12" s="4">
        <v>8568</v>
      </c>
      <c r="BV12" s="4">
        <v>25705</v>
      </c>
      <c r="BW12" s="4">
        <v>0</v>
      </c>
      <c r="BX12" s="4">
        <v>44</v>
      </c>
      <c r="BY12" s="4">
        <v>4602429</v>
      </c>
      <c r="BZ12" s="4">
        <v>41835</v>
      </c>
      <c r="CA12" s="4">
        <v>167340</v>
      </c>
      <c r="CB12" s="4">
        <v>319881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8568</v>
      </c>
      <c r="CL12" s="4">
        <v>25705</v>
      </c>
      <c r="CM12" s="4">
        <v>0</v>
      </c>
      <c r="CN12" s="4">
        <v>0</v>
      </c>
      <c r="CO12" s="4">
        <v>563329</v>
      </c>
      <c r="CP12" s="4">
        <v>4039100</v>
      </c>
      <c r="CQ12" s="4" t="s">
        <v>0</v>
      </c>
      <c r="CR12" s="4">
        <v>18</v>
      </c>
      <c r="CS12" s="4">
        <v>0</v>
      </c>
      <c r="CT12" s="4">
        <v>2</v>
      </c>
      <c r="CU12" s="4" t="s">
        <v>18</v>
      </c>
      <c r="CV12" s="4" t="s">
        <v>17</v>
      </c>
      <c r="CW12" s="4" t="s">
        <v>125</v>
      </c>
    </row>
    <row r="13" spans="1:101" s="4" customFormat="1" x14ac:dyDescent="0.2">
      <c r="A13" s="3">
        <v>46204</v>
      </c>
      <c r="B13" s="4" t="s">
        <v>124</v>
      </c>
      <c r="C13" s="4" t="s">
        <v>123</v>
      </c>
      <c r="D13" s="4" t="s">
        <v>0</v>
      </c>
      <c r="E13" s="4" t="s">
        <v>0</v>
      </c>
      <c r="F13" s="4">
        <v>1</v>
      </c>
      <c r="G13" s="4" t="s">
        <v>53</v>
      </c>
      <c r="H13" s="3">
        <v>29120</v>
      </c>
      <c r="I13" s="4">
        <v>1</v>
      </c>
      <c r="J13" s="4" t="s">
        <v>82</v>
      </c>
      <c r="K13" s="3">
        <v>39814</v>
      </c>
      <c r="L13" s="3">
        <v>39814</v>
      </c>
      <c r="M13" s="4">
        <v>16</v>
      </c>
      <c r="N13" s="4">
        <v>0</v>
      </c>
      <c r="O13" s="3">
        <v>45748</v>
      </c>
      <c r="P13" s="3">
        <v>43497</v>
      </c>
      <c r="Q13" s="4">
        <v>58</v>
      </c>
      <c r="R13" s="4" t="s">
        <v>0</v>
      </c>
      <c r="S13" s="4" t="s">
        <v>10</v>
      </c>
      <c r="T13" s="4" t="s">
        <v>9</v>
      </c>
      <c r="U13" s="4" t="s">
        <v>23</v>
      </c>
      <c r="V13" s="4" t="s">
        <v>22</v>
      </c>
      <c r="W13" s="4" t="s">
        <v>122</v>
      </c>
      <c r="X13" s="4" t="s">
        <v>3</v>
      </c>
      <c r="Y13" s="4" t="s">
        <v>4</v>
      </c>
      <c r="Z13" s="4" t="s">
        <v>8</v>
      </c>
      <c r="AA13" s="4" t="s">
        <v>7</v>
      </c>
      <c r="AB13" s="4" t="s">
        <v>121</v>
      </c>
      <c r="AC13" s="4" t="s">
        <v>111</v>
      </c>
      <c r="AD13" s="4" t="s">
        <v>0</v>
      </c>
      <c r="AE13" s="4" t="s">
        <v>6</v>
      </c>
      <c r="AF13" s="4" t="s">
        <v>120</v>
      </c>
      <c r="AG13" s="4">
        <v>1</v>
      </c>
      <c r="AH13" s="3">
        <v>46204</v>
      </c>
      <c r="AI13" s="4">
        <v>0</v>
      </c>
      <c r="AJ13" s="4">
        <v>1</v>
      </c>
      <c r="AK13" s="4">
        <v>0</v>
      </c>
      <c r="AL13" s="4">
        <v>0</v>
      </c>
      <c r="AM13" s="4">
        <v>4</v>
      </c>
      <c r="AO13" s="4" t="s">
        <v>5</v>
      </c>
      <c r="AP13" s="4">
        <v>16</v>
      </c>
      <c r="AQ13" s="4">
        <v>100</v>
      </c>
      <c r="AR13" s="3">
        <v>45292</v>
      </c>
      <c r="AS13" s="4" t="s">
        <v>4</v>
      </c>
      <c r="AT13" s="4" t="s">
        <v>2</v>
      </c>
      <c r="AU13" s="4" t="s">
        <v>3</v>
      </c>
      <c r="AV13" s="4">
        <v>0</v>
      </c>
      <c r="AW13" s="4">
        <v>2</v>
      </c>
      <c r="AX13" s="4">
        <v>0</v>
      </c>
      <c r="AY13" s="4" t="s">
        <v>3</v>
      </c>
      <c r="AZ13" s="4">
        <v>0</v>
      </c>
      <c r="BA13" s="4" t="s">
        <v>2</v>
      </c>
      <c r="BB13" s="4" t="s">
        <v>1</v>
      </c>
      <c r="BC13" s="4" t="s">
        <v>1</v>
      </c>
      <c r="BD13" s="4" t="s">
        <v>1</v>
      </c>
      <c r="BE13" s="4">
        <v>3570100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72420</v>
      </c>
      <c r="BR13" s="4">
        <v>0</v>
      </c>
      <c r="BS13" s="4">
        <v>150204</v>
      </c>
      <c r="BT13" s="4">
        <v>185000</v>
      </c>
      <c r="BU13" s="4">
        <v>8568</v>
      </c>
      <c r="BV13" s="4">
        <v>25705</v>
      </c>
      <c r="BW13" s="4">
        <v>0</v>
      </c>
      <c r="BX13" s="4">
        <v>39</v>
      </c>
      <c r="BY13" s="4">
        <v>4012036</v>
      </c>
      <c r="BZ13" s="4">
        <v>37551</v>
      </c>
      <c r="CA13" s="4">
        <v>150204</v>
      </c>
      <c r="CB13" s="4">
        <v>285608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8568</v>
      </c>
      <c r="CL13" s="4">
        <v>25705</v>
      </c>
      <c r="CM13" s="4">
        <v>0</v>
      </c>
      <c r="CN13" s="4">
        <v>0</v>
      </c>
      <c r="CO13" s="4">
        <v>507636</v>
      </c>
      <c r="CP13" s="4">
        <v>3504400</v>
      </c>
      <c r="CQ13" s="4" t="s">
        <v>0</v>
      </c>
      <c r="CR13" s="4">
        <v>19</v>
      </c>
      <c r="CS13" s="4">
        <v>0</v>
      </c>
      <c r="CT13" s="4">
        <v>2</v>
      </c>
      <c r="CU13" s="4" t="s">
        <v>18</v>
      </c>
      <c r="CV13" s="4" t="s">
        <v>17</v>
      </c>
      <c r="CW13" s="4" t="s">
        <v>119</v>
      </c>
    </row>
    <row r="14" spans="1:101" s="4" customFormat="1" x14ac:dyDescent="0.2">
      <c r="A14" s="3">
        <v>46204</v>
      </c>
      <c r="B14" s="4" t="s">
        <v>118</v>
      </c>
      <c r="C14" s="4" t="s">
        <v>117</v>
      </c>
      <c r="D14" s="4" t="s">
        <v>0</v>
      </c>
      <c r="E14" s="4" t="s">
        <v>0</v>
      </c>
      <c r="F14" s="4">
        <v>1</v>
      </c>
      <c r="G14" s="4" t="s">
        <v>12</v>
      </c>
      <c r="H14" s="3">
        <v>29464</v>
      </c>
      <c r="I14" s="4">
        <v>1</v>
      </c>
      <c r="J14" s="4" t="s">
        <v>15</v>
      </c>
      <c r="K14" s="3">
        <v>41821</v>
      </c>
      <c r="L14" s="3">
        <v>41821</v>
      </c>
      <c r="M14" s="4">
        <v>20</v>
      </c>
      <c r="N14" s="4">
        <v>0</v>
      </c>
      <c r="O14" s="3">
        <v>45627</v>
      </c>
      <c r="P14" s="3">
        <v>44287</v>
      </c>
      <c r="Q14" s="4">
        <v>58</v>
      </c>
      <c r="R14" s="4" t="s">
        <v>0</v>
      </c>
      <c r="S14" s="4" t="s">
        <v>10</v>
      </c>
      <c r="T14" s="4" t="s">
        <v>9</v>
      </c>
      <c r="U14" s="4" t="s">
        <v>23</v>
      </c>
      <c r="V14" s="4" t="s">
        <v>22</v>
      </c>
      <c r="W14" s="4" t="s">
        <v>116</v>
      </c>
      <c r="Z14" s="4" t="s">
        <v>8</v>
      </c>
      <c r="AA14" s="4" t="s">
        <v>7</v>
      </c>
      <c r="AB14" s="4" t="s">
        <v>115</v>
      </c>
      <c r="AC14" s="4" t="s">
        <v>114</v>
      </c>
      <c r="AD14" s="4" t="s">
        <v>0</v>
      </c>
      <c r="AE14" s="4" t="s">
        <v>6</v>
      </c>
      <c r="AF14" s="4" t="s">
        <v>113</v>
      </c>
      <c r="AG14" s="4">
        <v>1</v>
      </c>
      <c r="AH14" s="3">
        <v>46204</v>
      </c>
      <c r="AI14" s="4">
        <v>0</v>
      </c>
      <c r="AJ14" s="4">
        <v>1</v>
      </c>
      <c r="AK14" s="4">
        <v>0</v>
      </c>
      <c r="AL14" s="4">
        <v>0</v>
      </c>
      <c r="AM14" s="4">
        <v>4</v>
      </c>
      <c r="AO14" s="4" t="s">
        <v>56</v>
      </c>
      <c r="AP14" s="4">
        <v>20</v>
      </c>
      <c r="AQ14" s="4">
        <v>100</v>
      </c>
      <c r="AR14" s="3">
        <v>45292</v>
      </c>
      <c r="AS14" s="4" t="s">
        <v>4</v>
      </c>
      <c r="AT14" s="4" t="s">
        <v>2</v>
      </c>
      <c r="AU14" s="4" t="s">
        <v>3</v>
      </c>
      <c r="AV14" s="4">
        <v>0</v>
      </c>
      <c r="AW14" s="4">
        <v>2</v>
      </c>
      <c r="AX14" s="4">
        <v>0</v>
      </c>
      <c r="AY14" s="4" t="s">
        <v>3</v>
      </c>
      <c r="AZ14" s="4">
        <v>0</v>
      </c>
      <c r="BA14" s="4" t="s">
        <v>2</v>
      </c>
      <c r="BB14" s="4" t="s">
        <v>1</v>
      </c>
      <c r="BC14" s="4" t="s">
        <v>1</v>
      </c>
      <c r="BD14" s="4" t="s">
        <v>1</v>
      </c>
      <c r="BE14" s="4">
        <v>4126600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72420</v>
      </c>
      <c r="BR14" s="4">
        <v>0</v>
      </c>
      <c r="BS14" s="4">
        <v>172464</v>
      </c>
      <c r="BT14" s="4">
        <v>185000</v>
      </c>
      <c r="BU14" s="4">
        <v>9904</v>
      </c>
      <c r="BV14" s="4">
        <v>29712</v>
      </c>
      <c r="BW14" s="4">
        <v>0</v>
      </c>
      <c r="BX14" s="4">
        <v>24</v>
      </c>
      <c r="BY14" s="4">
        <v>4596124</v>
      </c>
      <c r="BZ14" s="4">
        <v>43116</v>
      </c>
      <c r="CA14" s="4">
        <v>172464</v>
      </c>
      <c r="CB14" s="4">
        <v>330128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9904</v>
      </c>
      <c r="CL14" s="4">
        <v>29712</v>
      </c>
      <c r="CM14" s="4">
        <v>0</v>
      </c>
      <c r="CN14" s="4">
        <v>0</v>
      </c>
      <c r="CO14" s="4">
        <v>585324</v>
      </c>
      <c r="CP14" s="4">
        <v>4010800</v>
      </c>
      <c r="CQ14" s="4" t="s">
        <v>0</v>
      </c>
      <c r="CR14" s="4">
        <v>9</v>
      </c>
      <c r="CS14" s="4">
        <v>0</v>
      </c>
      <c r="CT14" s="4">
        <v>1</v>
      </c>
      <c r="CU14" s="4" t="s">
        <v>18</v>
      </c>
      <c r="CV14" s="4" t="s">
        <v>17</v>
      </c>
      <c r="CW14" s="4" t="s">
        <v>112</v>
      </c>
    </row>
    <row r="15" spans="1:101" s="4" customFormat="1" x14ac:dyDescent="0.2">
      <c r="A15" s="3">
        <v>46204</v>
      </c>
      <c r="B15" s="4" t="s">
        <v>110</v>
      </c>
      <c r="C15" s="4" t="s">
        <v>109</v>
      </c>
      <c r="D15" s="4" t="s">
        <v>0</v>
      </c>
      <c r="E15" s="4" t="s">
        <v>0</v>
      </c>
      <c r="F15" s="4">
        <v>2</v>
      </c>
      <c r="G15" s="4" t="s">
        <v>12</v>
      </c>
      <c r="H15" s="3">
        <v>29890</v>
      </c>
      <c r="I15" s="4">
        <v>1</v>
      </c>
      <c r="J15" s="4" t="s">
        <v>90</v>
      </c>
      <c r="K15" s="3">
        <v>40179</v>
      </c>
      <c r="L15" s="3">
        <v>40179</v>
      </c>
      <c r="M15" s="4">
        <v>19</v>
      </c>
      <c r="N15" s="4">
        <v>0</v>
      </c>
      <c r="O15" s="3">
        <v>46174</v>
      </c>
      <c r="P15" s="3">
        <v>43466</v>
      </c>
      <c r="Q15" s="4">
        <v>65</v>
      </c>
      <c r="R15" s="4" t="s">
        <v>0</v>
      </c>
      <c r="S15" s="4" t="s">
        <v>10</v>
      </c>
      <c r="T15" s="4" t="s">
        <v>9</v>
      </c>
      <c r="U15" s="4" t="s">
        <v>23</v>
      </c>
      <c r="V15" s="4" t="s">
        <v>22</v>
      </c>
      <c r="W15" s="4" t="s">
        <v>108</v>
      </c>
      <c r="X15" s="4" t="s">
        <v>3</v>
      </c>
      <c r="Y15" s="4" t="s">
        <v>4</v>
      </c>
      <c r="Z15" s="4" t="s">
        <v>8</v>
      </c>
      <c r="AA15" s="4" t="s">
        <v>7</v>
      </c>
      <c r="AB15" s="4" t="s">
        <v>107</v>
      </c>
      <c r="AC15" s="4" t="s">
        <v>106</v>
      </c>
      <c r="AD15" s="4" t="s">
        <v>0</v>
      </c>
      <c r="AE15" s="4" t="s">
        <v>6</v>
      </c>
      <c r="AF15" s="4" t="s">
        <v>105</v>
      </c>
      <c r="AG15" s="4">
        <v>1</v>
      </c>
      <c r="AH15" s="3">
        <v>46204</v>
      </c>
      <c r="AI15" s="4">
        <v>0</v>
      </c>
      <c r="AJ15" s="4">
        <v>1</v>
      </c>
      <c r="AK15" s="4">
        <v>1</v>
      </c>
      <c r="AL15" s="4">
        <v>0</v>
      </c>
      <c r="AM15" s="4">
        <v>4</v>
      </c>
      <c r="AO15" s="4" t="s">
        <v>58</v>
      </c>
      <c r="AP15" s="4">
        <v>19</v>
      </c>
      <c r="AQ15" s="4">
        <v>100</v>
      </c>
      <c r="AR15" s="3">
        <v>45292</v>
      </c>
      <c r="AS15" s="4" t="s">
        <v>4</v>
      </c>
      <c r="AT15" s="4" t="s">
        <v>104</v>
      </c>
      <c r="AU15" s="4" t="s">
        <v>3</v>
      </c>
      <c r="AV15" s="4">
        <v>0</v>
      </c>
      <c r="AW15" s="4">
        <v>2</v>
      </c>
      <c r="AX15" s="4">
        <v>0</v>
      </c>
      <c r="AY15" s="4" t="s">
        <v>3</v>
      </c>
      <c r="AZ15" s="4">
        <v>0</v>
      </c>
      <c r="BA15" s="4" t="s">
        <v>2</v>
      </c>
      <c r="BB15" s="4" t="s">
        <v>1</v>
      </c>
      <c r="BC15" s="4" t="s">
        <v>1</v>
      </c>
      <c r="BD15" s="4" t="s">
        <v>1</v>
      </c>
      <c r="BE15" s="4">
        <v>4169900</v>
      </c>
      <c r="BF15" s="4">
        <v>416990</v>
      </c>
      <c r="BG15" s="4">
        <v>0</v>
      </c>
      <c r="BH15" s="4">
        <v>0</v>
      </c>
      <c r="BI15" s="4">
        <v>0</v>
      </c>
      <c r="BJ15" s="4">
        <v>700000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144840</v>
      </c>
      <c r="BR15" s="4">
        <v>13579</v>
      </c>
      <c r="BS15" s="4">
        <v>211476</v>
      </c>
      <c r="BT15" s="4">
        <v>0</v>
      </c>
      <c r="BU15" s="4">
        <v>10008</v>
      </c>
      <c r="BV15" s="4">
        <v>30023</v>
      </c>
      <c r="BW15" s="4">
        <v>0</v>
      </c>
      <c r="BX15" s="4">
        <v>90</v>
      </c>
      <c r="BY15" s="4">
        <v>5696906</v>
      </c>
      <c r="BZ15" s="4">
        <v>52869</v>
      </c>
      <c r="CA15" s="4">
        <v>211476</v>
      </c>
      <c r="CB15" s="4">
        <v>366951</v>
      </c>
      <c r="CC15" s="4">
        <v>13579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10008</v>
      </c>
      <c r="CL15" s="4">
        <v>30023</v>
      </c>
      <c r="CM15" s="4">
        <v>0</v>
      </c>
      <c r="CN15" s="4">
        <v>0</v>
      </c>
      <c r="CO15" s="4">
        <v>684906</v>
      </c>
      <c r="CP15" s="4">
        <v>5012000</v>
      </c>
      <c r="CQ15" s="4" t="s">
        <v>0</v>
      </c>
      <c r="CR15" s="4">
        <v>7</v>
      </c>
      <c r="CS15" s="4">
        <v>0</v>
      </c>
      <c r="CT15" s="4">
        <v>2</v>
      </c>
      <c r="CU15" s="4" t="s">
        <v>18</v>
      </c>
      <c r="CV15" s="4" t="s">
        <v>17</v>
      </c>
      <c r="CW15" s="4" t="s">
        <v>103</v>
      </c>
    </row>
    <row r="16" spans="1:101" s="4" customFormat="1" x14ac:dyDescent="0.2">
      <c r="A16" s="3">
        <v>46204</v>
      </c>
      <c r="B16" s="4" t="s">
        <v>98</v>
      </c>
      <c r="C16" s="4" t="s">
        <v>97</v>
      </c>
      <c r="D16" s="4" t="s">
        <v>0</v>
      </c>
      <c r="E16" s="4" t="s">
        <v>0</v>
      </c>
      <c r="F16" s="4">
        <v>2</v>
      </c>
      <c r="G16" s="4" t="s">
        <v>12</v>
      </c>
      <c r="H16" s="3">
        <v>30886</v>
      </c>
      <c r="I16" s="4">
        <v>1</v>
      </c>
      <c r="J16" s="4" t="s">
        <v>54</v>
      </c>
      <c r="K16" s="3">
        <v>39873</v>
      </c>
      <c r="L16" s="3">
        <v>39873</v>
      </c>
      <c r="M16" s="4">
        <v>16</v>
      </c>
      <c r="N16" s="4">
        <v>0</v>
      </c>
      <c r="O16" s="3">
        <v>45597</v>
      </c>
      <c r="P16" s="3">
        <v>43525</v>
      </c>
      <c r="Q16" s="4">
        <v>58</v>
      </c>
      <c r="R16" s="4" t="s">
        <v>0</v>
      </c>
      <c r="S16" s="4" t="s">
        <v>10</v>
      </c>
      <c r="T16" s="4" t="s">
        <v>9</v>
      </c>
      <c r="U16" s="4" t="s">
        <v>23</v>
      </c>
      <c r="V16" s="4" t="s">
        <v>22</v>
      </c>
      <c r="W16" s="4" t="s">
        <v>96</v>
      </c>
      <c r="X16" s="4" t="s">
        <v>3</v>
      </c>
      <c r="Y16" s="4" t="s">
        <v>4</v>
      </c>
      <c r="Z16" s="4" t="s">
        <v>8</v>
      </c>
      <c r="AA16" s="4" t="s">
        <v>7</v>
      </c>
      <c r="AB16" s="4" t="s">
        <v>95</v>
      </c>
      <c r="AC16" s="4" t="s">
        <v>94</v>
      </c>
      <c r="AD16" s="4" t="s">
        <v>0</v>
      </c>
      <c r="AE16" s="4" t="s">
        <v>6</v>
      </c>
      <c r="AF16" s="4" t="s">
        <v>93</v>
      </c>
      <c r="AG16" s="4">
        <v>1</v>
      </c>
      <c r="AH16" s="3">
        <v>46204</v>
      </c>
      <c r="AI16" s="4">
        <v>0</v>
      </c>
      <c r="AJ16" s="4">
        <v>1</v>
      </c>
      <c r="AK16" s="4">
        <v>0</v>
      </c>
      <c r="AL16" s="4">
        <v>0</v>
      </c>
      <c r="AM16" s="4">
        <v>4</v>
      </c>
      <c r="AO16" s="4" t="s">
        <v>55</v>
      </c>
      <c r="AP16" s="4">
        <v>16</v>
      </c>
      <c r="AQ16" s="4">
        <v>100</v>
      </c>
      <c r="AR16" s="3">
        <v>45292</v>
      </c>
      <c r="AS16" s="4" t="s">
        <v>55</v>
      </c>
      <c r="AT16" s="4" t="s">
        <v>2</v>
      </c>
      <c r="AU16" s="4" t="s">
        <v>3</v>
      </c>
      <c r="AV16" s="4">
        <v>0</v>
      </c>
      <c r="AW16" s="4">
        <v>2</v>
      </c>
      <c r="AX16" s="4">
        <v>0</v>
      </c>
      <c r="AY16" s="4" t="s">
        <v>3</v>
      </c>
      <c r="AZ16" s="4">
        <v>0</v>
      </c>
      <c r="BA16" s="4" t="s">
        <v>2</v>
      </c>
      <c r="BB16" s="4" t="s">
        <v>1</v>
      </c>
      <c r="BC16" s="4" t="s">
        <v>1</v>
      </c>
      <c r="BD16" s="4" t="s">
        <v>1</v>
      </c>
      <c r="BE16" s="4">
        <v>4213500</v>
      </c>
      <c r="BF16" s="4">
        <v>0</v>
      </c>
      <c r="BG16" s="4">
        <v>0</v>
      </c>
      <c r="BH16" s="4">
        <v>0</v>
      </c>
      <c r="BI16" s="4">
        <v>540000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72420</v>
      </c>
      <c r="BR16" s="4">
        <v>0</v>
      </c>
      <c r="BS16" s="4">
        <v>190140</v>
      </c>
      <c r="BT16" s="4">
        <v>0</v>
      </c>
      <c r="BU16" s="4">
        <v>10112</v>
      </c>
      <c r="BV16" s="4">
        <v>30337</v>
      </c>
      <c r="BW16" s="4">
        <v>0</v>
      </c>
      <c r="BX16" s="4">
        <v>95</v>
      </c>
      <c r="BY16" s="4">
        <v>5056604</v>
      </c>
      <c r="BZ16" s="4">
        <v>47535</v>
      </c>
      <c r="CA16" s="4">
        <v>190140</v>
      </c>
      <c r="CB16" s="4">
        <v>337080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10112</v>
      </c>
      <c r="CL16" s="4">
        <v>30337</v>
      </c>
      <c r="CM16" s="4">
        <v>0</v>
      </c>
      <c r="CN16" s="4">
        <v>0</v>
      </c>
      <c r="CO16" s="4">
        <v>615204</v>
      </c>
      <c r="CP16" s="4">
        <v>4441400</v>
      </c>
      <c r="CQ16" s="4" t="s">
        <v>0</v>
      </c>
      <c r="CR16" s="4">
        <v>4</v>
      </c>
      <c r="CS16" s="4">
        <v>0</v>
      </c>
      <c r="CT16" s="4">
        <v>1</v>
      </c>
      <c r="CU16" s="4" t="s">
        <v>18</v>
      </c>
      <c r="CV16" s="4" t="s">
        <v>17</v>
      </c>
      <c r="CW16" s="4" t="s">
        <v>92</v>
      </c>
    </row>
    <row r="17" spans="1:101" s="6" customFormat="1" x14ac:dyDescent="0.2">
      <c r="A17" s="5">
        <v>46204</v>
      </c>
      <c r="B17" s="6" t="s">
        <v>89</v>
      </c>
      <c r="C17" s="6" t="s">
        <v>88</v>
      </c>
      <c r="D17" s="6" t="s">
        <v>0</v>
      </c>
      <c r="E17" s="6" t="s">
        <v>0</v>
      </c>
      <c r="F17" s="6">
        <v>1</v>
      </c>
      <c r="G17" s="6" t="s">
        <v>12</v>
      </c>
      <c r="H17" s="5">
        <v>32537</v>
      </c>
      <c r="I17" s="6">
        <v>1</v>
      </c>
      <c r="J17" s="6" t="s">
        <v>54</v>
      </c>
      <c r="K17" s="5">
        <v>41061</v>
      </c>
      <c r="L17" s="5">
        <v>41061</v>
      </c>
      <c r="M17" s="6">
        <v>12</v>
      </c>
      <c r="N17" s="6">
        <v>0</v>
      </c>
      <c r="O17" s="5">
        <v>45931</v>
      </c>
      <c r="P17" s="5">
        <v>46661</v>
      </c>
      <c r="Q17" s="6">
        <v>58</v>
      </c>
      <c r="R17" s="6" t="s">
        <v>0</v>
      </c>
      <c r="S17" s="6" t="s">
        <v>10</v>
      </c>
      <c r="T17" s="6" t="s">
        <v>9</v>
      </c>
      <c r="U17" s="6" t="s">
        <v>23</v>
      </c>
      <c r="V17" s="6" t="s">
        <v>22</v>
      </c>
      <c r="W17" s="6" t="s">
        <v>87</v>
      </c>
      <c r="X17" s="6" t="s">
        <v>3</v>
      </c>
      <c r="Y17" s="6" t="s">
        <v>4</v>
      </c>
      <c r="Z17" s="6" t="s">
        <v>8</v>
      </c>
      <c r="AA17" s="6" t="s">
        <v>7</v>
      </c>
      <c r="AB17" s="6" t="s">
        <v>86</v>
      </c>
      <c r="AC17" s="6" t="s">
        <v>85</v>
      </c>
      <c r="AD17" s="6" t="s">
        <v>0</v>
      </c>
      <c r="AE17" s="6" t="s">
        <v>6</v>
      </c>
      <c r="AF17" s="6" t="s">
        <v>84</v>
      </c>
      <c r="AG17" s="6">
        <v>1</v>
      </c>
      <c r="AH17" s="5">
        <v>46204</v>
      </c>
      <c r="AI17" s="6">
        <v>0</v>
      </c>
      <c r="AJ17" s="6">
        <v>1</v>
      </c>
      <c r="AK17" s="6">
        <v>1</v>
      </c>
      <c r="AL17" s="6">
        <v>2</v>
      </c>
      <c r="AM17" s="6">
        <v>4</v>
      </c>
      <c r="AO17" s="6" t="s">
        <v>58</v>
      </c>
      <c r="AP17" s="6">
        <v>12</v>
      </c>
      <c r="AQ17" s="6">
        <v>100</v>
      </c>
      <c r="AR17" s="5">
        <v>45292</v>
      </c>
      <c r="AS17" s="6" t="s">
        <v>30</v>
      </c>
      <c r="AT17" s="6" t="s">
        <v>2</v>
      </c>
      <c r="AU17" s="6" t="s">
        <v>3</v>
      </c>
      <c r="AV17" s="6">
        <v>0</v>
      </c>
      <c r="AW17" s="6">
        <v>2</v>
      </c>
      <c r="AX17" s="6">
        <v>0</v>
      </c>
      <c r="AY17" s="6" t="s">
        <v>3</v>
      </c>
      <c r="AZ17" s="6">
        <v>0</v>
      </c>
      <c r="BA17" s="6" t="s">
        <v>2</v>
      </c>
      <c r="BB17" s="6" t="s">
        <v>1</v>
      </c>
      <c r="BC17" s="6" t="s">
        <v>1</v>
      </c>
      <c r="BD17" s="6" t="s">
        <v>1</v>
      </c>
      <c r="BE17" s="6">
        <v>3799400</v>
      </c>
      <c r="BF17" s="6">
        <v>379940</v>
      </c>
      <c r="BG17" s="6">
        <v>151976</v>
      </c>
      <c r="BH17" s="6">
        <v>0</v>
      </c>
      <c r="BI17" s="6">
        <v>980000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289680</v>
      </c>
      <c r="BR17" s="6">
        <v>0</v>
      </c>
      <c r="BS17" s="6">
        <v>212453</v>
      </c>
      <c r="BT17" s="6">
        <v>0</v>
      </c>
      <c r="BU17" s="6">
        <v>9119</v>
      </c>
      <c r="BV17" s="6">
        <v>27356</v>
      </c>
      <c r="BW17" s="6">
        <v>0</v>
      </c>
      <c r="BX17" s="6">
        <v>22</v>
      </c>
      <c r="BY17" s="6">
        <v>5849946</v>
      </c>
      <c r="BZ17" s="6">
        <v>53113</v>
      </c>
      <c r="CA17" s="6">
        <v>212453</v>
      </c>
      <c r="CB17" s="6">
        <v>346505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9119</v>
      </c>
      <c r="CL17" s="6">
        <v>27356</v>
      </c>
      <c r="CM17" s="6">
        <v>0</v>
      </c>
      <c r="CN17" s="6">
        <v>0</v>
      </c>
      <c r="CO17" s="6">
        <v>648546</v>
      </c>
      <c r="CP17" s="6">
        <v>5201400</v>
      </c>
      <c r="CQ17" s="6" t="s">
        <v>0</v>
      </c>
      <c r="CR17" s="6">
        <v>5</v>
      </c>
      <c r="CS17" s="6">
        <v>0</v>
      </c>
      <c r="CT17" s="6">
        <v>2</v>
      </c>
      <c r="CU17" s="6" t="s">
        <v>18</v>
      </c>
      <c r="CV17" s="6" t="s">
        <v>17</v>
      </c>
      <c r="CW17" s="6" t="s">
        <v>83</v>
      </c>
    </row>
    <row r="18" spans="1:101" s="4" customFormat="1" x14ac:dyDescent="0.2">
      <c r="A18" s="3">
        <v>46204</v>
      </c>
      <c r="B18" s="4" t="s">
        <v>81</v>
      </c>
      <c r="C18" s="4" t="s">
        <v>80</v>
      </c>
      <c r="D18" s="4" t="s">
        <v>0</v>
      </c>
      <c r="E18" s="4" t="s">
        <v>0</v>
      </c>
      <c r="F18" s="4">
        <v>2</v>
      </c>
      <c r="G18" s="4" t="s">
        <v>12</v>
      </c>
      <c r="H18" s="3">
        <v>33247</v>
      </c>
      <c r="I18" s="4">
        <v>1</v>
      </c>
      <c r="J18" s="4" t="s">
        <v>54</v>
      </c>
      <c r="K18" s="3">
        <v>41061</v>
      </c>
      <c r="L18" s="3">
        <v>41061</v>
      </c>
      <c r="M18" s="4">
        <v>12</v>
      </c>
      <c r="N18" s="4">
        <v>0</v>
      </c>
      <c r="O18" s="3">
        <v>45931</v>
      </c>
      <c r="P18" s="3">
        <v>43101</v>
      </c>
      <c r="Q18" s="4">
        <v>65</v>
      </c>
      <c r="R18" s="4" t="s">
        <v>0</v>
      </c>
      <c r="S18" s="4" t="s">
        <v>10</v>
      </c>
      <c r="T18" s="4" t="s">
        <v>9</v>
      </c>
      <c r="U18" s="4" t="s">
        <v>23</v>
      </c>
      <c r="V18" s="4" t="s">
        <v>22</v>
      </c>
      <c r="W18" s="4" t="s">
        <v>79</v>
      </c>
      <c r="X18" s="4" t="s">
        <v>3</v>
      </c>
      <c r="Y18" s="4" t="s">
        <v>4</v>
      </c>
      <c r="Z18" s="4" t="s">
        <v>8</v>
      </c>
      <c r="AA18" s="4" t="s">
        <v>7</v>
      </c>
      <c r="AB18" s="4" t="s">
        <v>78</v>
      </c>
      <c r="AC18" s="4" t="s">
        <v>77</v>
      </c>
      <c r="AD18" s="4" t="s">
        <v>0</v>
      </c>
      <c r="AE18" s="4" t="s">
        <v>6</v>
      </c>
      <c r="AF18" s="4" t="s">
        <v>76</v>
      </c>
      <c r="AG18" s="4">
        <v>1</v>
      </c>
      <c r="AH18" s="3">
        <v>46204</v>
      </c>
      <c r="AI18" s="4">
        <v>0</v>
      </c>
      <c r="AJ18" s="4">
        <v>1</v>
      </c>
      <c r="AK18" s="4">
        <v>0</v>
      </c>
      <c r="AL18" s="4">
        <v>0</v>
      </c>
      <c r="AM18" s="4">
        <v>4</v>
      </c>
      <c r="AO18" s="4" t="s">
        <v>58</v>
      </c>
      <c r="AP18" s="4">
        <v>12</v>
      </c>
      <c r="AQ18" s="4">
        <v>100</v>
      </c>
      <c r="AR18" s="3">
        <v>45292</v>
      </c>
      <c r="AS18" s="4" t="s">
        <v>55</v>
      </c>
      <c r="AT18" s="4" t="s">
        <v>2</v>
      </c>
      <c r="AU18" s="4" t="s">
        <v>3</v>
      </c>
      <c r="AV18" s="4">
        <v>0</v>
      </c>
      <c r="AW18" s="4">
        <v>2</v>
      </c>
      <c r="AX18" s="4">
        <v>0</v>
      </c>
      <c r="AY18" s="4" t="s">
        <v>3</v>
      </c>
      <c r="AZ18" s="4">
        <v>0</v>
      </c>
      <c r="BA18" s="4" t="s">
        <v>2</v>
      </c>
      <c r="BB18" s="4" t="s">
        <v>1</v>
      </c>
      <c r="BC18" s="4" t="s">
        <v>1</v>
      </c>
      <c r="BD18" s="4" t="s">
        <v>1</v>
      </c>
      <c r="BE18" s="4">
        <v>3799400</v>
      </c>
      <c r="BF18" s="4">
        <v>0</v>
      </c>
      <c r="BG18" s="4">
        <v>0</v>
      </c>
      <c r="BH18" s="4">
        <v>0</v>
      </c>
      <c r="BI18" s="4">
        <v>540000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72420</v>
      </c>
      <c r="BR18" s="4">
        <v>0</v>
      </c>
      <c r="BS18" s="4">
        <v>173576</v>
      </c>
      <c r="BT18" s="4">
        <v>0</v>
      </c>
      <c r="BU18" s="4">
        <v>9119</v>
      </c>
      <c r="BV18" s="4">
        <v>27356</v>
      </c>
      <c r="BW18" s="4">
        <v>0</v>
      </c>
      <c r="BX18" s="4">
        <v>26</v>
      </c>
      <c r="BY18" s="4">
        <v>4621897</v>
      </c>
      <c r="BZ18" s="4">
        <v>43394</v>
      </c>
      <c r="CA18" s="4">
        <v>173576</v>
      </c>
      <c r="CB18" s="4">
        <v>303952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9119</v>
      </c>
      <c r="CL18" s="4">
        <v>27356</v>
      </c>
      <c r="CM18" s="4">
        <v>0</v>
      </c>
      <c r="CN18" s="4">
        <v>0</v>
      </c>
      <c r="CO18" s="4">
        <v>557397</v>
      </c>
      <c r="CP18" s="4">
        <v>4064500</v>
      </c>
      <c r="CQ18" s="4" t="s">
        <v>0</v>
      </c>
      <c r="CR18" s="4">
        <v>6</v>
      </c>
      <c r="CS18" s="4">
        <v>0</v>
      </c>
      <c r="CT18" s="4">
        <v>1</v>
      </c>
      <c r="CU18" s="4" t="s">
        <v>18</v>
      </c>
      <c r="CV18" s="4" t="s">
        <v>17</v>
      </c>
      <c r="CW18" s="4" t="s">
        <v>75</v>
      </c>
    </row>
    <row r="19" spans="1:101" s="4" customFormat="1" x14ac:dyDescent="0.2">
      <c r="A19" s="3">
        <v>46204</v>
      </c>
      <c r="B19" s="4" t="s">
        <v>74</v>
      </c>
      <c r="C19" s="4" t="s">
        <v>73</v>
      </c>
      <c r="D19" s="4" t="s">
        <v>0</v>
      </c>
      <c r="E19" s="4" t="s">
        <v>0</v>
      </c>
      <c r="F19" s="4">
        <v>2</v>
      </c>
      <c r="G19" s="4" t="s">
        <v>14</v>
      </c>
      <c r="H19" s="3">
        <v>33672</v>
      </c>
      <c r="I19" s="4">
        <v>1</v>
      </c>
      <c r="J19" s="4" t="s">
        <v>11</v>
      </c>
      <c r="K19" s="3">
        <v>44621</v>
      </c>
      <c r="L19" s="3">
        <v>44682</v>
      </c>
      <c r="M19" s="4">
        <v>4</v>
      </c>
      <c r="N19" s="4">
        <v>0</v>
      </c>
      <c r="O19" s="3">
        <v>45839</v>
      </c>
      <c r="P19" s="3">
        <v>45352</v>
      </c>
      <c r="Q19" s="4">
        <v>58</v>
      </c>
      <c r="R19" s="4" t="s">
        <v>0</v>
      </c>
      <c r="S19" s="4" t="s">
        <v>10</v>
      </c>
      <c r="T19" s="4" t="s">
        <v>9</v>
      </c>
      <c r="U19" s="4" t="s">
        <v>23</v>
      </c>
      <c r="V19" s="4" t="s">
        <v>22</v>
      </c>
      <c r="W19" s="4" t="s">
        <v>72</v>
      </c>
      <c r="Z19" s="4" t="s">
        <v>8</v>
      </c>
      <c r="AA19" s="4" t="s">
        <v>7</v>
      </c>
      <c r="AB19" s="4" t="s">
        <v>71</v>
      </c>
      <c r="AC19" s="4" t="s">
        <v>70</v>
      </c>
      <c r="AD19" s="4" t="s">
        <v>1</v>
      </c>
      <c r="AE19" s="4" t="s">
        <v>6</v>
      </c>
      <c r="AF19" s="4" t="s">
        <v>69</v>
      </c>
      <c r="AG19" s="4">
        <v>1</v>
      </c>
      <c r="AH19" s="3">
        <v>46204</v>
      </c>
      <c r="AI19" s="4">
        <v>0</v>
      </c>
      <c r="AJ19" s="4">
        <v>1</v>
      </c>
      <c r="AK19" s="4">
        <v>1</v>
      </c>
      <c r="AL19" s="4">
        <v>2</v>
      </c>
      <c r="AM19" s="4">
        <v>4</v>
      </c>
      <c r="AO19" s="4" t="s">
        <v>5</v>
      </c>
      <c r="AP19" s="4">
        <v>4</v>
      </c>
      <c r="AQ19" s="4">
        <v>100</v>
      </c>
      <c r="AR19" s="3">
        <v>45292</v>
      </c>
      <c r="AS19" s="4" t="s">
        <v>4</v>
      </c>
      <c r="AT19" s="4" t="s">
        <v>60</v>
      </c>
      <c r="AU19" s="4" t="s">
        <v>3</v>
      </c>
      <c r="AV19" s="4">
        <v>0</v>
      </c>
      <c r="AW19" s="4">
        <v>2</v>
      </c>
      <c r="AX19" s="4">
        <v>0</v>
      </c>
      <c r="AY19" s="4" t="s">
        <v>3</v>
      </c>
      <c r="AZ19" s="4">
        <v>0</v>
      </c>
      <c r="BA19" s="4" t="s">
        <v>2</v>
      </c>
      <c r="BB19" s="4" t="s">
        <v>1</v>
      </c>
      <c r="BC19" s="4" t="s">
        <v>1</v>
      </c>
      <c r="BD19" s="4" t="s">
        <v>1</v>
      </c>
      <c r="BE19" s="4">
        <v>2964000</v>
      </c>
      <c r="BF19" s="4">
        <v>296400</v>
      </c>
      <c r="BG19" s="4">
        <v>118560</v>
      </c>
      <c r="BH19" s="4">
        <v>0</v>
      </c>
      <c r="BI19" s="4">
        <v>0</v>
      </c>
      <c r="BJ19" s="4">
        <v>520000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289680</v>
      </c>
      <c r="BR19" s="4">
        <v>0</v>
      </c>
      <c r="BS19" s="4">
        <v>155958</v>
      </c>
      <c r="BT19" s="4">
        <v>0</v>
      </c>
      <c r="BU19" s="4">
        <v>7114</v>
      </c>
      <c r="BV19" s="4">
        <v>21341</v>
      </c>
      <c r="BW19" s="4">
        <v>0</v>
      </c>
      <c r="BX19" s="4">
        <v>67</v>
      </c>
      <c r="BY19" s="4">
        <v>4373120</v>
      </c>
      <c r="BZ19" s="4">
        <v>38990</v>
      </c>
      <c r="CA19" s="4">
        <v>155958</v>
      </c>
      <c r="CB19" s="4">
        <v>270317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7114</v>
      </c>
      <c r="CL19" s="4">
        <v>21341</v>
      </c>
      <c r="CM19" s="4">
        <v>0</v>
      </c>
      <c r="CN19" s="4">
        <v>0</v>
      </c>
      <c r="CO19" s="4">
        <v>493720</v>
      </c>
      <c r="CP19" s="4">
        <v>3879400</v>
      </c>
      <c r="CQ19" s="4" t="s">
        <v>0</v>
      </c>
      <c r="CR19" s="4">
        <v>14</v>
      </c>
      <c r="CS19" s="4">
        <v>0</v>
      </c>
      <c r="CT19" s="4">
        <v>2</v>
      </c>
      <c r="CU19" s="4" t="s">
        <v>18</v>
      </c>
      <c r="CV19" s="4" t="s">
        <v>17</v>
      </c>
      <c r="CW19" s="4" t="s">
        <v>68</v>
      </c>
    </row>
    <row r="20" spans="1:101" s="4" customFormat="1" x14ac:dyDescent="0.2">
      <c r="A20" s="3">
        <v>46204</v>
      </c>
      <c r="B20" s="4" t="s">
        <v>67</v>
      </c>
      <c r="C20" s="4" t="s">
        <v>66</v>
      </c>
      <c r="D20" s="4" t="s">
        <v>0</v>
      </c>
      <c r="E20" s="4" t="s">
        <v>0</v>
      </c>
      <c r="F20" s="4">
        <v>1</v>
      </c>
      <c r="G20" s="4" t="s">
        <v>65</v>
      </c>
      <c r="H20" s="3">
        <v>34889</v>
      </c>
      <c r="I20" s="4">
        <v>1</v>
      </c>
      <c r="J20" s="4" t="s">
        <v>11</v>
      </c>
      <c r="K20" s="3">
        <v>44621</v>
      </c>
      <c r="L20" s="3">
        <v>44682</v>
      </c>
      <c r="M20" s="4">
        <v>4</v>
      </c>
      <c r="N20" s="4">
        <v>0</v>
      </c>
      <c r="O20" s="3">
        <v>46174</v>
      </c>
      <c r="P20" s="3">
        <v>45474</v>
      </c>
      <c r="Q20" s="4">
        <v>65</v>
      </c>
      <c r="R20" s="4" t="s">
        <v>0</v>
      </c>
      <c r="S20" s="4" t="s">
        <v>10</v>
      </c>
      <c r="T20" s="4" t="s">
        <v>9</v>
      </c>
      <c r="U20" s="4" t="s">
        <v>23</v>
      </c>
      <c r="V20" s="4" t="s">
        <v>22</v>
      </c>
      <c r="W20" s="4" t="s">
        <v>64</v>
      </c>
      <c r="Z20" s="4" t="s">
        <v>8</v>
      </c>
      <c r="AA20" s="4" t="s">
        <v>7</v>
      </c>
      <c r="AB20" s="4" t="s">
        <v>63</v>
      </c>
      <c r="AC20" s="4" t="s">
        <v>62</v>
      </c>
      <c r="AD20" s="4" t="s">
        <v>1</v>
      </c>
      <c r="AE20" s="4" t="s">
        <v>6</v>
      </c>
      <c r="AF20" s="4" t="s">
        <v>61</v>
      </c>
      <c r="AG20" s="4">
        <v>1</v>
      </c>
      <c r="AH20" s="3">
        <v>46204</v>
      </c>
      <c r="AI20" s="4">
        <v>0</v>
      </c>
      <c r="AJ20" s="4">
        <v>1</v>
      </c>
      <c r="AK20" s="4">
        <v>1</v>
      </c>
      <c r="AL20" s="4">
        <v>0</v>
      </c>
      <c r="AM20" s="4">
        <v>4</v>
      </c>
      <c r="AO20" s="4" t="s">
        <v>30</v>
      </c>
      <c r="AP20" s="4">
        <v>4</v>
      </c>
      <c r="AQ20" s="4">
        <v>100</v>
      </c>
      <c r="AR20" s="3">
        <v>45292</v>
      </c>
      <c r="AS20" s="4" t="s">
        <v>4</v>
      </c>
      <c r="AT20" s="4" t="s">
        <v>60</v>
      </c>
      <c r="AU20" s="4" t="s">
        <v>3</v>
      </c>
      <c r="AV20" s="4">
        <v>0</v>
      </c>
      <c r="AW20" s="4">
        <v>2</v>
      </c>
      <c r="AX20" s="4">
        <v>0</v>
      </c>
      <c r="AY20" s="4" t="s">
        <v>3</v>
      </c>
      <c r="AZ20" s="4">
        <v>0</v>
      </c>
      <c r="BA20" s="4" t="s">
        <v>2</v>
      </c>
      <c r="BB20" s="4" t="s">
        <v>1</v>
      </c>
      <c r="BC20" s="4" t="s">
        <v>1</v>
      </c>
      <c r="BD20" s="4" t="s">
        <v>1</v>
      </c>
      <c r="BE20" s="4">
        <v>3089300</v>
      </c>
      <c r="BF20" s="4">
        <v>308930</v>
      </c>
      <c r="BG20" s="4">
        <v>0</v>
      </c>
      <c r="BH20" s="4">
        <v>0</v>
      </c>
      <c r="BI20" s="4">
        <v>0</v>
      </c>
      <c r="BJ20" s="4">
        <v>520000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144840</v>
      </c>
      <c r="BR20" s="4">
        <v>0</v>
      </c>
      <c r="BS20" s="4">
        <v>156729</v>
      </c>
      <c r="BT20" s="4">
        <v>0</v>
      </c>
      <c r="BU20" s="4">
        <v>7414</v>
      </c>
      <c r="BV20" s="4">
        <v>22243</v>
      </c>
      <c r="BW20" s="4">
        <v>0</v>
      </c>
      <c r="BX20" s="4">
        <v>70</v>
      </c>
      <c r="BY20" s="4">
        <v>4249526</v>
      </c>
      <c r="BZ20" s="4">
        <v>39182</v>
      </c>
      <c r="CA20" s="4">
        <v>156729</v>
      </c>
      <c r="CB20" s="4">
        <v>271858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7414</v>
      </c>
      <c r="CL20" s="4">
        <v>22243</v>
      </c>
      <c r="CM20" s="4">
        <v>0</v>
      </c>
      <c r="CN20" s="4">
        <v>0</v>
      </c>
      <c r="CO20" s="4">
        <v>497426</v>
      </c>
      <c r="CP20" s="4">
        <v>3752100</v>
      </c>
      <c r="CQ20" s="4" t="s">
        <v>0</v>
      </c>
      <c r="CR20" s="4">
        <v>10</v>
      </c>
      <c r="CS20" s="4">
        <v>0</v>
      </c>
      <c r="CT20" s="4">
        <v>2</v>
      </c>
      <c r="CU20" s="4" t="s">
        <v>18</v>
      </c>
      <c r="CV20" s="4" t="s">
        <v>17</v>
      </c>
      <c r="CW20" s="4" t="s">
        <v>59</v>
      </c>
    </row>
    <row r="21" spans="1:101" s="4" customFormat="1" x14ac:dyDescent="0.2">
      <c r="A21" s="3">
        <v>46204</v>
      </c>
      <c r="B21" s="4" t="s">
        <v>52</v>
      </c>
      <c r="C21" s="4" t="s">
        <v>51</v>
      </c>
      <c r="D21" s="4" t="s">
        <v>0</v>
      </c>
      <c r="E21" s="4" t="s">
        <v>0</v>
      </c>
      <c r="F21" s="4">
        <v>2</v>
      </c>
      <c r="G21" s="4" t="s">
        <v>31</v>
      </c>
      <c r="H21" s="3">
        <v>35461</v>
      </c>
      <c r="I21" s="4">
        <v>1</v>
      </c>
      <c r="J21" s="4" t="s">
        <v>27</v>
      </c>
      <c r="K21" s="3">
        <v>44166</v>
      </c>
      <c r="L21" s="3">
        <v>44197</v>
      </c>
      <c r="M21" s="4">
        <v>7</v>
      </c>
      <c r="N21" s="4">
        <v>0</v>
      </c>
      <c r="O21" s="3">
        <v>45717</v>
      </c>
      <c r="P21" s="3">
        <v>44896</v>
      </c>
      <c r="Q21" s="4">
        <v>58</v>
      </c>
      <c r="R21" s="4" t="s">
        <v>0</v>
      </c>
      <c r="S21" s="4" t="s">
        <v>10</v>
      </c>
      <c r="T21" s="4" t="s">
        <v>9</v>
      </c>
      <c r="U21" s="4" t="s">
        <v>23</v>
      </c>
      <c r="V21" s="4" t="s">
        <v>22</v>
      </c>
      <c r="W21" s="4" t="s">
        <v>50</v>
      </c>
      <c r="Z21" s="4" t="s">
        <v>8</v>
      </c>
      <c r="AA21" s="4" t="s">
        <v>7</v>
      </c>
      <c r="AB21" s="4" t="s">
        <v>49</v>
      </c>
      <c r="AC21" s="4" t="s">
        <v>48</v>
      </c>
      <c r="AD21" s="4" t="s">
        <v>0</v>
      </c>
      <c r="AE21" s="4" t="s">
        <v>6</v>
      </c>
      <c r="AF21" s="4" t="s">
        <v>47</v>
      </c>
      <c r="AG21" s="4">
        <v>1</v>
      </c>
      <c r="AH21" s="3">
        <v>46204</v>
      </c>
      <c r="AI21" s="4">
        <v>0</v>
      </c>
      <c r="AJ21" s="4">
        <v>1</v>
      </c>
      <c r="AK21" s="4">
        <v>1</v>
      </c>
      <c r="AL21" s="4">
        <v>2</v>
      </c>
      <c r="AM21" s="4">
        <v>4</v>
      </c>
      <c r="AO21" s="4" t="s">
        <v>28</v>
      </c>
      <c r="AP21" s="4">
        <v>7</v>
      </c>
      <c r="AQ21" s="4">
        <v>100</v>
      </c>
      <c r="AR21" s="3">
        <v>45292</v>
      </c>
      <c r="AS21" s="4" t="s">
        <v>4</v>
      </c>
      <c r="AT21" s="4" t="s">
        <v>2</v>
      </c>
      <c r="AU21" s="4" t="s">
        <v>3</v>
      </c>
      <c r="AV21" s="4">
        <v>0</v>
      </c>
      <c r="AW21" s="4">
        <v>2</v>
      </c>
      <c r="AX21" s="4">
        <v>0</v>
      </c>
      <c r="AY21" s="4" t="s">
        <v>3</v>
      </c>
      <c r="AZ21" s="4">
        <v>0</v>
      </c>
      <c r="BA21" s="4" t="s">
        <v>2</v>
      </c>
      <c r="BB21" s="4" t="s">
        <v>1</v>
      </c>
      <c r="BC21" s="4" t="s">
        <v>1</v>
      </c>
      <c r="BD21" s="4" t="s">
        <v>1</v>
      </c>
      <c r="BE21" s="4">
        <v>2756800</v>
      </c>
      <c r="BF21" s="4">
        <v>275680</v>
      </c>
      <c r="BG21" s="4">
        <v>110272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289680</v>
      </c>
      <c r="BR21" s="4">
        <v>0</v>
      </c>
      <c r="BS21" s="4">
        <v>132910</v>
      </c>
      <c r="BT21" s="4">
        <v>180000</v>
      </c>
      <c r="BU21" s="4">
        <v>6616</v>
      </c>
      <c r="BV21" s="4">
        <v>19849</v>
      </c>
      <c r="BW21" s="4">
        <v>0</v>
      </c>
      <c r="BX21" s="4">
        <v>16</v>
      </c>
      <c r="BY21" s="4">
        <v>3771823</v>
      </c>
      <c r="BZ21" s="4">
        <v>33228</v>
      </c>
      <c r="CA21" s="4">
        <v>132910</v>
      </c>
      <c r="CB21" s="4">
        <v>251420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6616</v>
      </c>
      <c r="CL21" s="4">
        <v>19849</v>
      </c>
      <c r="CM21" s="4">
        <v>0</v>
      </c>
      <c r="CN21" s="4">
        <v>0</v>
      </c>
      <c r="CO21" s="4">
        <v>444023</v>
      </c>
      <c r="CP21" s="4">
        <v>3327800</v>
      </c>
      <c r="CQ21" s="4" t="s">
        <v>0</v>
      </c>
      <c r="CR21" s="4">
        <v>21</v>
      </c>
      <c r="CS21" s="4">
        <v>0</v>
      </c>
      <c r="CT21" s="4">
        <v>2</v>
      </c>
      <c r="CU21" s="4" t="s">
        <v>18</v>
      </c>
      <c r="CV21" s="4" t="s">
        <v>17</v>
      </c>
      <c r="CW21" s="4" t="s">
        <v>46</v>
      </c>
    </row>
    <row r="22" spans="1:101" s="4" customFormat="1" x14ac:dyDescent="0.2">
      <c r="A22" s="3">
        <v>46204</v>
      </c>
      <c r="B22" s="4" t="s">
        <v>45</v>
      </c>
      <c r="C22" s="4" t="s">
        <v>44</v>
      </c>
      <c r="D22" s="4" t="s">
        <v>0</v>
      </c>
      <c r="E22" s="4" t="s">
        <v>0</v>
      </c>
      <c r="F22" s="4">
        <v>2</v>
      </c>
      <c r="G22" s="4" t="s">
        <v>12</v>
      </c>
      <c r="H22" s="3">
        <v>35543</v>
      </c>
      <c r="I22" s="4">
        <v>1</v>
      </c>
      <c r="J22" s="4" t="s">
        <v>13</v>
      </c>
      <c r="K22" s="3">
        <v>44621</v>
      </c>
      <c r="L22" s="3">
        <v>44682</v>
      </c>
      <c r="M22" s="4">
        <v>7</v>
      </c>
      <c r="N22" s="4">
        <v>0</v>
      </c>
      <c r="O22" s="3">
        <v>46082</v>
      </c>
      <c r="P22" s="3">
        <v>45474</v>
      </c>
      <c r="Q22" s="4">
        <v>58</v>
      </c>
      <c r="R22" s="4" t="s">
        <v>0</v>
      </c>
      <c r="S22" s="4" t="s">
        <v>10</v>
      </c>
      <c r="T22" s="4" t="s">
        <v>9</v>
      </c>
      <c r="U22" s="4" t="s">
        <v>23</v>
      </c>
      <c r="V22" s="4" t="s">
        <v>22</v>
      </c>
      <c r="W22" s="4" t="s">
        <v>43</v>
      </c>
      <c r="Z22" s="4" t="s">
        <v>8</v>
      </c>
      <c r="AA22" s="4" t="s">
        <v>7</v>
      </c>
      <c r="AB22" s="4" t="s">
        <v>42</v>
      </c>
      <c r="AC22" s="4" t="s">
        <v>41</v>
      </c>
      <c r="AD22" s="4" t="s">
        <v>1</v>
      </c>
      <c r="AE22" s="4" t="s">
        <v>6</v>
      </c>
      <c r="AF22" s="4" t="s">
        <v>40</v>
      </c>
      <c r="AG22" s="4">
        <v>1</v>
      </c>
      <c r="AH22" s="3">
        <v>46204</v>
      </c>
      <c r="AI22" s="4">
        <v>0</v>
      </c>
      <c r="AJ22" s="4">
        <v>1</v>
      </c>
      <c r="AK22" s="4">
        <v>1</v>
      </c>
      <c r="AL22" s="4">
        <v>1</v>
      </c>
      <c r="AM22" s="4">
        <v>4</v>
      </c>
      <c r="AO22" s="4" t="s">
        <v>28</v>
      </c>
      <c r="AP22" s="4">
        <v>7</v>
      </c>
      <c r="AQ22" s="4">
        <v>100</v>
      </c>
      <c r="AR22" s="3">
        <v>45292</v>
      </c>
      <c r="AS22" s="4" t="s">
        <v>4</v>
      </c>
      <c r="AT22" s="4" t="s">
        <v>2</v>
      </c>
      <c r="AU22" s="4" t="s">
        <v>3</v>
      </c>
      <c r="AV22" s="4">
        <v>0</v>
      </c>
      <c r="AW22" s="4">
        <v>2</v>
      </c>
      <c r="AX22" s="4">
        <v>0</v>
      </c>
      <c r="AY22" s="4" t="s">
        <v>3</v>
      </c>
      <c r="AZ22" s="4">
        <v>0</v>
      </c>
      <c r="BA22" s="4" t="s">
        <v>2</v>
      </c>
      <c r="BB22" s="4" t="s">
        <v>1</v>
      </c>
      <c r="BC22" s="4" t="s">
        <v>1</v>
      </c>
      <c r="BD22" s="4" t="s">
        <v>1</v>
      </c>
      <c r="BE22" s="4">
        <v>2756800</v>
      </c>
      <c r="BF22" s="4">
        <v>275680</v>
      </c>
      <c r="BG22" s="4">
        <v>55136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217260</v>
      </c>
      <c r="BR22" s="4">
        <v>0</v>
      </c>
      <c r="BS22" s="4">
        <v>130705</v>
      </c>
      <c r="BT22" s="4">
        <v>180000</v>
      </c>
      <c r="BU22" s="4">
        <v>6616</v>
      </c>
      <c r="BV22" s="4">
        <v>19849</v>
      </c>
      <c r="BW22" s="4">
        <v>0</v>
      </c>
      <c r="BX22" s="4">
        <v>9</v>
      </c>
      <c r="BY22" s="4">
        <v>3642055</v>
      </c>
      <c r="BZ22" s="4">
        <v>32676</v>
      </c>
      <c r="CA22" s="4">
        <v>130705</v>
      </c>
      <c r="CB22" s="4">
        <v>247009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6616</v>
      </c>
      <c r="CL22" s="4">
        <v>19849</v>
      </c>
      <c r="CM22" s="4">
        <v>0</v>
      </c>
      <c r="CN22" s="4">
        <v>0</v>
      </c>
      <c r="CO22" s="4">
        <v>436855</v>
      </c>
      <c r="CP22" s="4">
        <v>3205200</v>
      </c>
      <c r="CQ22" s="4" t="s">
        <v>0</v>
      </c>
      <c r="CR22" s="4">
        <v>22</v>
      </c>
      <c r="CS22" s="4">
        <v>0</v>
      </c>
      <c r="CT22" s="4">
        <v>2</v>
      </c>
      <c r="CU22" s="4" t="s">
        <v>18</v>
      </c>
      <c r="CV22" s="4" t="s">
        <v>17</v>
      </c>
      <c r="CW22" s="4" t="s">
        <v>39</v>
      </c>
    </row>
    <row r="23" spans="1:101" s="4" customFormat="1" x14ac:dyDescent="0.2">
      <c r="A23" s="3">
        <v>46204</v>
      </c>
      <c r="B23" s="4" t="s">
        <v>38</v>
      </c>
      <c r="C23" s="4" t="s">
        <v>37</v>
      </c>
      <c r="D23" s="4" t="s">
        <v>0</v>
      </c>
      <c r="E23" s="4" t="s">
        <v>0</v>
      </c>
      <c r="F23" s="4">
        <v>1</v>
      </c>
      <c r="G23" s="4" t="s">
        <v>12</v>
      </c>
      <c r="H23" s="3">
        <v>36298</v>
      </c>
      <c r="I23" s="4">
        <v>1</v>
      </c>
      <c r="J23" s="4" t="s">
        <v>13</v>
      </c>
      <c r="K23" s="3">
        <v>44621</v>
      </c>
      <c r="L23" s="3">
        <v>44682</v>
      </c>
      <c r="M23" s="4">
        <v>7</v>
      </c>
      <c r="N23" s="4">
        <v>0</v>
      </c>
      <c r="O23" s="3">
        <v>46082</v>
      </c>
      <c r="P23" s="3">
        <v>45474</v>
      </c>
      <c r="Q23" s="4">
        <v>65</v>
      </c>
      <c r="R23" s="4" t="s">
        <v>0</v>
      </c>
      <c r="S23" s="4" t="s">
        <v>10</v>
      </c>
      <c r="T23" s="4" t="s">
        <v>9</v>
      </c>
      <c r="U23" s="4" t="s">
        <v>23</v>
      </c>
      <c r="V23" s="4" t="s">
        <v>22</v>
      </c>
      <c r="W23" s="4" t="s">
        <v>36</v>
      </c>
      <c r="Z23" s="4" t="s">
        <v>8</v>
      </c>
      <c r="AA23" s="4" t="s">
        <v>7</v>
      </c>
      <c r="AB23" s="4" t="s">
        <v>35</v>
      </c>
      <c r="AC23" s="4" t="s">
        <v>34</v>
      </c>
      <c r="AD23" s="4" t="s">
        <v>1</v>
      </c>
      <c r="AE23" s="4" t="s">
        <v>6</v>
      </c>
      <c r="AF23" s="4" t="s">
        <v>33</v>
      </c>
      <c r="AG23" s="4">
        <v>1</v>
      </c>
      <c r="AH23" s="3">
        <v>46204</v>
      </c>
      <c r="AI23" s="4">
        <v>0</v>
      </c>
      <c r="AJ23" s="4">
        <v>1</v>
      </c>
      <c r="AK23" s="4">
        <v>0</v>
      </c>
      <c r="AL23" s="4">
        <v>0</v>
      </c>
      <c r="AM23" s="4">
        <v>4</v>
      </c>
      <c r="AO23" s="4" t="s">
        <v>28</v>
      </c>
      <c r="AP23" s="4">
        <v>7</v>
      </c>
      <c r="AQ23" s="4">
        <v>100</v>
      </c>
      <c r="AR23" s="3">
        <v>45292</v>
      </c>
      <c r="AS23" s="4" t="s">
        <v>4</v>
      </c>
      <c r="AT23" s="4" t="s">
        <v>2</v>
      </c>
      <c r="AU23" s="4" t="s">
        <v>3</v>
      </c>
      <c r="AV23" s="4">
        <v>0</v>
      </c>
      <c r="AW23" s="4">
        <v>2</v>
      </c>
      <c r="AX23" s="4">
        <v>0</v>
      </c>
      <c r="AY23" s="4" t="s">
        <v>3</v>
      </c>
      <c r="AZ23" s="4">
        <v>0</v>
      </c>
      <c r="BA23" s="4" t="s">
        <v>2</v>
      </c>
      <c r="BB23" s="4" t="s">
        <v>1</v>
      </c>
      <c r="BC23" s="4" t="s">
        <v>1</v>
      </c>
      <c r="BD23" s="4" t="s">
        <v>1</v>
      </c>
      <c r="BE23" s="4">
        <v>2756800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72420</v>
      </c>
      <c r="BR23" s="4">
        <v>0</v>
      </c>
      <c r="BS23" s="4">
        <v>117472</v>
      </c>
      <c r="BT23" s="4">
        <v>180000</v>
      </c>
      <c r="BU23" s="4">
        <v>6616</v>
      </c>
      <c r="BV23" s="4">
        <v>19849</v>
      </c>
      <c r="BW23" s="4">
        <v>0</v>
      </c>
      <c r="BX23" s="4">
        <v>92</v>
      </c>
      <c r="BY23" s="4">
        <v>3153249</v>
      </c>
      <c r="BZ23" s="4">
        <v>29368</v>
      </c>
      <c r="CA23" s="4">
        <v>117472</v>
      </c>
      <c r="CB23" s="4">
        <v>220544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6616</v>
      </c>
      <c r="CL23" s="4">
        <v>19849</v>
      </c>
      <c r="CM23" s="4">
        <v>0</v>
      </c>
      <c r="CN23" s="4">
        <v>0</v>
      </c>
      <c r="CO23" s="4">
        <v>393849</v>
      </c>
      <c r="CP23" s="4">
        <v>2759400</v>
      </c>
      <c r="CQ23" s="4" t="s">
        <v>0</v>
      </c>
      <c r="CR23" s="4">
        <v>23</v>
      </c>
      <c r="CS23" s="4">
        <v>0</v>
      </c>
      <c r="CT23" s="4">
        <v>1</v>
      </c>
      <c r="CU23" s="4" t="s">
        <v>18</v>
      </c>
      <c r="CV23" s="4" t="s">
        <v>17</v>
      </c>
      <c r="CW23" s="4" t="s">
        <v>32</v>
      </c>
    </row>
    <row r="24" spans="1:101" s="4" customFormat="1" x14ac:dyDescent="0.2">
      <c r="A24" s="3">
        <v>46204</v>
      </c>
      <c r="B24" s="4" t="s">
        <v>26</v>
      </c>
      <c r="C24" s="4" t="s">
        <v>25</v>
      </c>
      <c r="D24" s="4" t="s">
        <v>0</v>
      </c>
      <c r="E24" s="4" t="s">
        <v>0</v>
      </c>
      <c r="F24" s="4">
        <v>2</v>
      </c>
      <c r="G24" s="4" t="s">
        <v>24</v>
      </c>
      <c r="H24" s="3">
        <v>36877</v>
      </c>
      <c r="I24" s="4">
        <v>1</v>
      </c>
      <c r="J24" s="4" t="s">
        <v>11</v>
      </c>
      <c r="K24" s="3">
        <v>45778</v>
      </c>
      <c r="L24" s="3">
        <v>45779</v>
      </c>
      <c r="M24" s="4">
        <v>1</v>
      </c>
      <c r="N24" s="4">
        <v>0</v>
      </c>
      <c r="O24" s="3">
        <v>46174</v>
      </c>
      <c r="P24" s="3">
        <v>46508</v>
      </c>
      <c r="Q24" s="4">
        <v>58</v>
      </c>
      <c r="R24" s="4" t="s">
        <v>3</v>
      </c>
      <c r="S24" s="4" t="s">
        <v>10</v>
      </c>
      <c r="T24" s="4" t="s">
        <v>9</v>
      </c>
      <c r="U24" s="4" t="s">
        <v>23</v>
      </c>
      <c r="V24" s="4" t="s">
        <v>22</v>
      </c>
      <c r="W24" s="4" t="s">
        <v>21</v>
      </c>
      <c r="X24" s="4" t="s">
        <v>3</v>
      </c>
      <c r="Y24" s="4" t="s">
        <v>4</v>
      </c>
      <c r="Z24" s="4" t="s">
        <v>8</v>
      </c>
      <c r="AA24" s="4" t="s">
        <v>7</v>
      </c>
      <c r="AB24" s="4" t="s">
        <v>20</v>
      </c>
      <c r="AC24" s="4" t="s">
        <v>16</v>
      </c>
      <c r="AD24" s="4" t="s">
        <v>0</v>
      </c>
      <c r="AE24" s="4" t="s">
        <v>6</v>
      </c>
      <c r="AF24" s="4" t="s">
        <v>19</v>
      </c>
      <c r="AG24" s="4">
        <v>1</v>
      </c>
      <c r="AH24" s="3">
        <v>46204</v>
      </c>
      <c r="AI24" s="4">
        <v>0</v>
      </c>
      <c r="AJ24" s="4">
        <v>1</v>
      </c>
      <c r="AK24" s="4">
        <v>0</v>
      </c>
      <c r="AL24" s="4">
        <v>0</v>
      </c>
      <c r="AM24" s="4">
        <v>4</v>
      </c>
      <c r="AO24" s="4" t="s">
        <v>5</v>
      </c>
      <c r="AP24" s="4">
        <v>1</v>
      </c>
      <c r="AQ24" s="4">
        <v>100</v>
      </c>
      <c r="AR24" s="3">
        <v>45292</v>
      </c>
      <c r="AS24" s="4" t="s">
        <v>4</v>
      </c>
      <c r="AT24" s="4" t="s">
        <v>2</v>
      </c>
      <c r="AU24" s="4" t="s">
        <v>3</v>
      </c>
      <c r="AV24" s="4">
        <v>0</v>
      </c>
      <c r="AW24" s="4">
        <v>2</v>
      </c>
      <c r="AX24" s="4">
        <v>0</v>
      </c>
      <c r="AY24" s="4" t="s">
        <v>3</v>
      </c>
      <c r="AZ24" s="4">
        <v>0</v>
      </c>
      <c r="BA24" s="4" t="s">
        <v>2</v>
      </c>
      <c r="BB24" s="4" t="s">
        <v>1</v>
      </c>
      <c r="BC24" s="4" t="s">
        <v>1</v>
      </c>
      <c r="BD24" s="4" t="s">
        <v>1</v>
      </c>
      <c r="BE24" s="4">
        <v>2785700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72420</v>
      </c>
      <c r="BR24" s="4">
        <v>0</v>
      </c>
      <c r="BS24" s="4">
        <v>118828</v>
      </c>
      <c r="BT24" s="4">
        <v>185000</v>
      </c>
      <c r="BU24" s="4">
        <v>6686</v>
      </c>
      <c r="BV24" s="4">
        <v>20057</v>
      </c>
      <c r="BW24" s="4">
        <v>0</v>
      </c>
      <c r="BX24" s="4">
        <v>43</v>
      </c>
      <c r="BY24" s="4">
        <v>3188734</v>
      </c>
      <c r="BZ24" s="4">
        <v>29707</v>
      </c>
      <c r="CA24" s="4">
        <v>118828</v>
      </c>
      <c r="CB24" s="4">
        <v>222856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6686</v>
      </c>
      <c r="CL24" s="4">
        <v>20057</v>
      </c>
      <c r="CM24" s="4">
        <v>0</v>
      </c>
      <c r="CN24" s="4">
        <v>0</v>
      </c>
      <c r="CO24" s="4">
        <v>398134</v>
      </c>
      <c r="CP24" s="4">
        <v>2790600</v>
      </c>
      <c r="CQ24" s="4" t="s">
        <v>0</v>
      </c>
      <c r="CR24" s="4">
        <v>20</v>
      </c>
      <c r="CS24" s="4">
        <v>0</v>
      </c>
      <c r="CT24" s="4">
        <v>1</v>
      </c>
      <c r="CU24" s="4" t="s">
        <v>18</v>
      </c>
      <c r="CV24" s="4" t="s">
        <v>17</v>
      </c>
      <c r="CW24" s="4" t="s">
        <v>16</v>
      </c>
    </row>
    <row r="28" spans="1:101" x14ac:dyDescent="0.2">
      <c r="BY28" s="7">
        <f>BY16*4%</f>
        <v>202264.16</v>
      </c>
    </row>
    <row r="30" spans="1:101" x14ac:dyDescent="0.2">
      <c r="CG30" s="1">
        <v>199500</v>
      </c>
      <c r="CH30" s="1">
        <v>5</v>
      </c>
      <c r="CI30" s="1">
        <f>CG30*CH30</f>
        <v>997500</v>
      </c>
      <c r="CK30" s="1">
        <f>45000/10</f>
        <v>4500</v>
      </c>
    </row>
    <row r="31" spans="1:101" x14ac:dyDescent="0.2">
      <c r="CG31" s="1">
        <f>78000+CK30</f>
        <v>82500</v>
      </c>
      <c r="CH31" s="1">
        <v>5</v>
      </c>
      <c r="CI31" s="1">
        <f>CG31*CH31</f>
        <v>412500</v>
      </c>
    </row>
    <row r="32" spans="1:101" ht="15" x14ac:dyDescent="0.25">
      <c r="BP32" t="s">
        <v>365</v>
      </c>
      <c r="BY32" s="10">
        <v>80900</v>
      </c>
      <c r="CI32" s="1">
        <f>CI31+CI30</f>
        <v>1410000</v>
      </c>
    </row>
    <row r="33" spans="68:77" ht="15" x14ac:dyDescent="0.25">
      <c r="BP33" t="s">
        <v>366</v>
      </c>
      <c r="BY33" s="10">
        <v>288086</v>
      </c>
    </row>
    <row r="34" spans="68:77" ht="15" x14ac:dyDescent="0.25">
      <c r="BP34" t="s">
        <v>367</v>
      </c>
      <c r="BY34" s="10">
        <v>197111</v>
      </c>
    </row>
    <row r="35" spans="68:77" ht="15" x14ac:dyDescent="0.25">
      <c r="BP35" t="s">
        <v>368</v>
      </c>
    </row>
    <row r="36" spans="68:77" ht="15" x14ac:dyDescent="0.25">
      <c r="BP36" t="s">
        <v>369</v>
      </c>
    </row>
    <row r="37" spans="68:77" ht="15" x14ac:dyDescent="0.25">
      <c r="BP37" t="s">
        <v>370</v>
      </c>
    </row>
    <row r="38" spans="68:77" ht="15" x14ac:dyDescent="0.25">
      <c r="BP38" t="s">
        <v>371</v>
      </c>
    </row>
  </sheetData>
  <autoFilter ref="A1:CW24" xr:uid="{238FE0AB-99FE-4273-A907-D183E122B239}"/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5B1E7-8EA6-4D4E-BCFB-9BF350C7B287}">
  <dimension ref="A1:CW9"/>
  <sheetViews>
    <sheetView topLeftCell="L1" workbookViewId="0">
      <selection activeCell="AN2" sqref="AN2"/>
    </sheetView>
  </sheetViews>
  <sheetFormatPr defaultRowHeight="12.75" x14ac:dyDescent="0.2"/>
  <cols>
    <col min="1" max="2" width="9.140625" style="1"/>
    <col min="3" max="3" width="33" style="1" bestFit="1" customWidth="1"/>
    <col min="4" max="16384" width="9.140625" style="1"/>
  </cols>
  <sheetData>
    <row r="1" spans="1:101" x14ac:dyDescent="0.2">
      <c r="A1" s="1" t="s">
        <v>308</v>
      </c>
      <c r="B1" s="1" t="s">
        <v>307</v>
      </c>
      <c r="C1" s="1" t="s">
        <v>306</v>
      </c>
      <c r="D1" s="1" t="s">
        <v>305</v>
      </c>
      <c r="E1" s="1" t="s">
        <v>304</v>
      </c>
      <c r="F1" s="1" t="s">
        <v>303</v>
      </c>
      <c r="G1" s="1" t="s">
        <v>302</v>
      </c>
      <c r="H1" s="1" t="s">
        <v>301</v>
      </c>
      <c r="I1" s="1" t="s">
        <v>300</v>
      </c>
      <c r="J1" s="1" t="s">
        <v>299</v>
      </c>
      <c r="K1" s="1" t="s">
        <v>298</v>
      </c>
      <c r="L1" s="1" t="s">
        <v>297</v>
      </c>
      <c r="M1" s="1" t="s">
        <v>296</v>
      </c>
      <c r="N1" s="1" t="s">
        <v>295</v>
      </c>
      <c r="O1" s="1" t="s">
        <v>294</v>
      </c>
      <c r="P1" s="1" t="s">
        <v>293</v>
      </c>
      <c r="Q1" s="1" t="s">
        <v>292</v>
      </c>
      <c r="R1" s="1" t="s">
        <v>291</v>
      </c>
      <c r="S1" s="1" t="s">
        <v>290</v>
      </c>
      <c r="T1" s="1" t="s">
        <v>289</v>
      </c>
      <c r="U1" s="1" t="s">
        <v>288</v>
      </c>
      <c r="V1" s="1" t="s">
        <v>287</v>
      </c>
      <c r="W1" s="1" t="s">
        <v>286</v>
      </c>
      <c r="X1" s="1" t="s">
        <v>285</v>
      </c>
      <c r="Y1" s="1" t="s">
        <v>284</v>
      </c>
      <c r="Z1" s="1" t="s">
        <v>283</v>
      </c>
      <c r="AA1" s="1" t="s">
        <v>282</v>
      </c>
      <c r="AB1" s="1" t="s">
        <v>281</v>
      </c>
      <c r="AC1" s="1" t="s">
        <v>280</v>
      </c>
      <c r="AD1" s="1" t="s">
        <v>279</v>
      </c>
      <c r="AE1" s="1" t="s">
        <v>278</v>
      </c>
      <c r="AF1" s="1" t="s">
        <v>277</v>
      </c>
      <c r="AG1" s="1" t="s">
        <v>276</v>
      </c>
      <c r="AH1" s="1" t="s">
        <v>275</v>
      </c>
      <c r="AI1" s="1" t="s">
        <v>274</v>
      </c>
      <c r="AJ1" s="1" t="s">
        <v>273</v>
      </c>
      <c r="AK1" s="1" t="s">
        <v>272</v>
      </c>
      <c r="AL1" s="1" t="s">
        <v>271</v>
      </c>
      <c r="AM1" s="1" t="s">
        <v>270</v>
      </c>
      <c r="AN1" s="1" t="s">
        <v>269</v>
      </c>
      <c r="AO1" s="1" t="s">
        <v>268</v>
      </c>
      <c r="AP1" s="1" t="s">
        <v>267</v>
      </c>
      <c r="AQ1" s="1" t="s">
        <v>266</v>
      </c>
      <c r="AR1" s="1" t="s">
        <v>265</v>
      </c>
      <c r="AS1" s="1" t="s">
        <v>264</v>
      </c>
      <c r="AT1" s="1" t="s">
        <v>263</v>
      </c>
      <c r="AU1" s="1" t="s">
        <v>262</v>
      </c>
      <c r="AV1" s="1" t="s">
        <v>261</v>
      </c>
      <c r="AW1" s="1" t="s">
        <v>260</v>
      </c>
      <c r="AX1" s="1" t="s">
        <v>259</v>
      </c>
      <c r="AY1" s="1" t="s">
        <v>258</v>
      </c>
      <c r="AZ1" s="1" t="s">
        <v>257</v>
      </c>
      <c r="BA1" s="1" t="s">
        <v>256</v>
      </c>
      <c r="BB1" s="1" t="s">
        <v>255</v>
      </c>
      <c r="BC1" s="1" t="s">
        <v>254</v>
      </c>
      <c r="BD1" s="1" t="s">
        <v>253</v>
      </c>
      <c r="BE1" s="1" t="s">
        <v>252</v>
      </c>
      <c r="BF1" s="1" t="s">
        <v>251</v>
      </c>
      <c r="BG1" s="1" t="s">
        <v>250</v>
      </c>
      <c r="BH1" s="1" t="s">
        <v>249</v>
      </c>
      <c r="BI1" s="1" t="s">
        <v>248</v>
      </c>
      <c r="BJ1" s="1" t="s">
        <v>247</v>
      </c>
      <c r="BK1" s="1" t="s">
        <v>246</v>
      </c>
      <c r="BL1" s="1" t="s">
        <v>245</v>
      </c>
      <c r="BM1" s="1" t="s">
        <v>244</v>
      </c>
      <c r="BN1" s="1" t="s">
        <v>243</v>
      </c>
      <c r="BO1" s="1" t="s">
        <v>242</v>
      </c>
      <c r="BP1" s="1" t="s">
        <v>241</v>
      </c>
      <c r="BQ1" s="1" t="s">
        <v>240</v>
      </c>
      <c r="BR1" s="1" t="s">
        <v>239</v>
      </c>
      <c r="BS1" s="1" t="s">
        <v>238</v>
      </c>
      <c r="BT1" s="1" t="s">
        <v>237</v>
      </c>
      <c r="BU1" s="1" t="s">
        <v>236</v>
      </c>
      <c r="BV1" s="1" t="s">
        <v>235</v>
      </c>
      <c r="BW1" s="1" t="s">
        <v>234</v>
      </c>
      <c r="BX1" s="1" t="s">
        <v>233</v>
      </c>
      <c r="BY1" s="1" t="s">
        <v>232</v>
      </c>
      <c r="BZ1" s="1" t="s">
        <v>231</v>
      </c>
      <c r="CA1" s="1" t="s">
        <v>230</v>
      </c>
      <c r="CB1" s="1" t="s">
        <v>229</v>
      </c>
      <c r="CC1" s="1" t="s">
        <v>228</v>
      </c>
      <c r="CD1" s="1" t="s">
        <v>227</v>
      </c>
      <c r="CE1" s="1" t="s">
        <v>226</v>
      </c>
      <c r="CF1" s="1" t="s">
        <v>225</v>
      </c>
      <c r="CG1" s="1" t="s">
        <v>224</v>
      </c>
      <c r="CH1" s="1" t="s">
        <v>223</v>
      </c>
      <c r="CI1" s="1" t="s">
        <v>222</v>
      </c>
      <c r="CJ1" s="1" t="s">
        <v>221</v>
      </c>
      <c r="CK1" s="1" t="s">
        <v>220</v>
      </c>
      <c r="CL1" s="1" t="s">
        <v>219</v>
      </c>
      <c r="CM1" s="1" t="s">
        <v>218</v>
      </c>
      <c r="CN1" s="1" t="s">
        <v>217</v>
      </c>
      <c r="CO1" s="1" t="s">
        <v>216</v>
      </c>
      <c r="CP1" s="1" t="s">
        <v>215</v>
      </c>
      <c r="CQ1" s="1" t="s">
        <v>214</v>
      </c>
      <c r="CR1" s="1" t="s">
        <v>213</v>
      </c>
      <c r="CS1" s="1" t="s">
        <v>212</v>
      </c>
      <c r="CT1" s="1" t="s">
        <v>211</v>
      </c>
      <c r="CU1" s="1" t="s">
        <v>210</v>
      </c>
      <c r="CV1" s="1" t="s">
        <v>209</v>
      </c>
      <c r="CW1" s="1" t="s">
        <v>208</v>
      </c>
    </row>
    <row r="2" spans="1:101" x14ac:dyDescent="0.2">
      <c r="A2" s="2">
        <v>46204</v>
      </c>
      <c r="B2" s="1" t="s">
        <v>364</v>
      </c>
      <c r="C2" s="1" t="s">
        <v>363</v>
      </c>
      <c r="D2" s="1" t="s">
        <v>0</v>
      </c>
      <c r="E2" s="1" t="s">
        <v>0</v>
      </c>
      <c r="F2" s="1">
        <v>2</v>
      </c>
      <c r="G2" s="1" t="s">
        <v>12</v>
      </c>
      <c r="H2" s="2">
        <v>30945</v>
      </c>
      <c r="I2" s="1">
        <v>1</v>
      </c>
      <c r="J2" s="1" t="s">
        <v>11</v>
      </c>
      <c r="K2" s="2">
        <v>45387</v>
      </c>
      <c r="L2" s="2">
        <v>45387</v>
      </c>
      <c r="M2" s="1">
        <v>2</v>
      </c>
      <c r="N2" s="1">
        <v>0</v>
      </c>
      <c r="O2" s="2">
        <v>45931</v>
      </c>
      <c r="P2" s="2">
        <v>46117</v>
      </c>
      <c r="Q2" s="1">
        <v>58</v>
      </c>
      <c r="R2" s="1" t="s">
        <v>0</v>
      </c>
      <c r="S2" s="1" t="s">
        <v>10</v>
      </c>
      <c r="T2" s="1" t="s">
        <v>9</v>
      </c>
      <c r="U2" s="1" t="s">
        <v>319</v>
      </c>
      <c r="V2" s="1" t="s">
        <v>318</v>
      </c>
      <c r="W2" s="1" t="s">
        <v>362</v>
      </c>
      <c r="X2" s="1" t="s">
        <v>1</v>
      </c>
      <c r="Y2" s="1" t="s">
        <v>1</v>
      </c>
      <c r="Z2" s="1" t="s">
        <v>8</v>
      </c>
      <c r="AA2" s="1" t="s">
        <v>7</v>
      </c>
      <c r="AB2" s="1" t="s">
        <v>361</v>
      </c>
      <c r="AC2" s="1" t="s">
        <v>360</v>
      </c>
      <c r="AD2" s="1" t="s">
        <v>0</v>
      </c>
      <c r="AE2" s="1" t="s">
        <v>6</v>
      </c>
      <c r="AF2" s="1" t="s">
        <v>312</v>
      </c>
      <c r="AG2" s="1">
        <v>1</v>
      </c>
      <c r="AH2" s="2">
        <v>46204</v>
      </c>
      <c r="AI2" s="1">
        <v>0</v>
      </c>
      <c r="AJ2" s="1">
        <v>1</v>
      </c>
      <c r="AK2" s="1">
        <v>1</v>
      </c>
      <c r="AL2" s="1">
        <v>2</v>
      </c>
      <c r="AM2" s="1">
        <v>12</v>
      </c>
      <c r="AN2" s="2">
        <v>47212</v>
      </c>
      <c r="AO2" s="1" t="s">
        <v>311</v>
      </c>
      <c r="AP2" s="1">
        <v>2</v>
      </c>
      <c r="AQ2" s="1">
        <v>100</v>
      </c>
      <c r="AR2" s="2">
        <v>45292</v>
      </c>
      <c r="AS2" s="1" t="s">
        <v>4</v>
      </c>
      <c r="AT2" s="1" t="s">
        <v>2</v>
      </c>
      <c r="AU2" s="1" t="s">
        <v>3</v>
      </c>
      <c r="AV2" s="1">
        <v>0</v>
      </c>
      <c r="AW2" s="1">
        <v>2</v>
      </c>
      <c r="AX2" s="1">
        <v>0</v>
      </c>
      <c r="AY2" s="1" t="s">
        <v>3</v>
      </c>
      <c r="AZ2" s="1">
        <v>0</v>
      </c>
      <c r="BA2" s="1" t="s">
        <v>2</v>
      </c>
      <c r="BB2" s="1" t="s">
        <v>1</v>
      </c>
      <c r="BC2" s="1" t="s">
        <v>1</v>
      </c>
      <c r="BD2" s="1" t="s">
        <v>1</v>
      </c>
      <c r="BE2" s="1">
        <v>3304400</v>
      </c>
      <c r="BF2" s="1">
        <v>330440</v>
      </c>
      <c r="BG2" s="1">
        <v>132176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289680</v>
      </c>
      <c r="BR2" s="1">
        <v>0</v>
      </c>
      <c r="BS2" s="1">
        <v>158081</v>
      </c>
      <c r="BT2" s="1">
        <v>185000</v>
      </c>
      <c r="BU2" s="1">
        <v>7931</v>
      </c>
      <c r="BV2" s="1">
        <v>23792</v>
      </c>
      <c r="BW2" s="1">
        <v>0</v>
      </c>
      <c r="BX2" s="1">
        <v>52</v>
      </c>
      <c r="BY2" s="1">
        <v>4431552</v>
      </c>
      <c r="BZ2" s="1">
        <v>39520</v>
      </c>
      <c r="CA2" s="1">
        <v>158081</v>
      </c>
      <c r="CB2" s="1">
        <v>122428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7931</v>
      </c>
      <c r="CL2" s="1">
        <v>23792</v>
      </c>
      <c r="CM2" s="1">
        <v>0</v>
      </c>
      <c r="CN2" s="1">
        <v>0</v>
      </c>
      <c r="CO2" s="1">
        <v>351752</v>
      </c>
      <c r="CP2" s="1">
        <v>4079800</v>
      </c>
      <c r="CQ2" s="1" t="s">
        <v>0</v>
      </c>
      <c r="CR2" s="1">
        <v>1</v>
      </c>
      <c r="CS2" s="1">
        <v>0</v>
      </c>
      <c r="CT2" s="1">
        <v>2</v>
      </c>
      <c r="CU2" s="1" t="s">
        <v>18</v>
      </c>
      <c r="CV2" s="1" t="s">
        <v>314</v>
      </c>
      <c r="CW2" s="1" t="s">
        <v>359</v>
      </c>
    </row>
    <row r="3" spans="1:101" x14ac:dyDescent="0.2">
      <c r="A3" s="2">
        <v>46204</v>
      </c>
      <c r="B3" s="1" t="s">
        <v>358</v>
      </c>
      <c r="C3" s="1" t="s">
        <v>357</v>
      </c>
      <c r="D3" s="1" t="s">
        <v>0</v>
      </c>
      <c r="E3" s="1" t="s">
        <v>0</v>
      </c>
      <c r="F3" s="1">
        <v>1</v>
      </c>
      <c r="G3" s="1" t="s">
        <v>12</v>
      </c>
      <c r="H3" s="2">
        <v>31556</v>
      </c>
      <c r="I3" s="1">
        <v>1</v>
      </c>
      <c r="J3" s="1" t="s">
        <v>101</v>
      </c>
      <c r="K3" s="2">
        <v>45901</v>
      </c>
      <c r="L3" s="2">
        <v>45901</v>
      </c>
      <c r="M3" s="1">
        <v>0</v>
      </c>
      <c r="N3" s="1">
        <v>0</v>
      </c>
      <c r="O3" s="2">
        <v>45901</v>
      </c>
      <c r="P3" s="2">
        <v>46631</v>
      </c>
      <c r="Q3" s="1">
        <v>58</v>
      </c>
      <c r="R3" s="1" t="s">
        <v>3</v>
      </c>
      <c r="S3" s="1" t="s">
        <v>10</v>
      </c>
      <c r="T3" s="1" t="s">
        <v>9</v>
      </c>
      <c r="U3" s="1" t="s">
        <v>319</v>
      </c>
      <c r="V3" s="1" t="s">
        <v>318</v>
      </c>
      <c r="W3" s="1" t="s">
        <v>356</v>
      </c>
      <c r="X3" s="1" t="s">
        <v>1</v>
      </c>
      <c r="Y3" s="1" t="s">
        <v>1</v>
      </c>
      <c r="Z3" s="1" t="s">
        <v>8</v>
      </c>
      <c r="AA3" s="1" t="s">
        <v>7</v>
      </c>
      <c r="AB3" s="1" t="s">
        <v>355</v>
      </c>
      <c r="AC3" s="1" t="s">
        <v>353</v>
      </c>
      <c r="AD3" s="1" t="s">
        <v>0</v>
      </c>
      <c r="AE3" s="1" t="s">
        <v>6</v>
      </c>
      <c r="AF3" s="1" t="s">
        <v>354</v>
      </c>
      <c r="AG3" s="1">
        <v>1</v>
      </c>
      <c r="AH3" s="2">
        <v>46204</v>
      </c>
      <c r="AI3" s="1">
        <v>0</v>
      </c>
      <c r="AJ3" s="1">
        <v>1</v>
      </c>
      <c r="AK3" s="1">
        <v>1</v>
      </c>
      <c r="AL3" s="1">
        <v>0</v>
      </c>
      <c r="AM3" s="1">
        <v>12</v>
      </c>
      <c r="AN3" s="2">
        <v>46265</v>
      </c>
      <c r="AO3" s="1" t="s">
        <v>101</v>
      </c>
      <c r="AP3" s="1">
        <v>0</v>
      </c>
      <c r="AQ3" s="1">
        <v>100</v>
      </c>
      <c r="AR3" s="2">
        <v>45292</v>
      </c>
      <c r="AS3" s="1" t="s">
        <v>4</v>
      </c>
      <c r="AT3" s="1" t="s">
        <v>2</v>
      </c>
      <c r="AU3" s="1" t="s">
        <v>3</v>
      </c>
      <c r="AV3" s="1">
        <v>0</v>
      </c>
      <c r="AW3" s="1">
        <v>2</v>
      </c>
      <c r="AX3" s="1">
        <v>0</v>
      </c>
      <c r="AY3" s="1" t="s">
        <v>3</v>
      </c>
      <c r="AZ3" s="1">
        <v>0</v>
      </c>
      <c r="BA3" s="1" t="s">
        <v>2</v>
      </c>
      <c r="BB3" s="1" t="s">
        <v>1</v>
      </c>
      <c r="BC3" s="1" t="s">
        <v>1</v>
      </c>
      <c r="BD3" s="1" t="s">
        <v>1</v>
      </c>
      <c r="BE3" s="1">
        <v>1938500</v>
      </c>
      <c r="BF3" s="1">
        <v>193850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144840</v>
      </c>
      <c r="BR3" s="1">
        <v>0</v>
      </c>
      <c r="BS3" s="1">
        <v>92294</v>
      </c>
      <c r="BT3" s="1">
        <v>175000</v>
      </c>
      <c r="BU3" s="1">
        <v>4652</v>
      </c>
      <c r="BV3" s="1">
        <v>13957</v>
      </c>
      <c r="BW3" s="1">
        <v>0</v>
      </c>
      <c r="BX3" s="1">
        <v>85</v>
      </c>
      <c r="BY3" s="1">
        <v>2563178</v>
      </c>
      <c r="BZ3" s="1">
        <v>23074</v>
      </c>
      <c r="CA3" s="1">
        <v>92294</v>
      </c>
      <c r="CB3" s="1">
        <v>69301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4652</v>
      </c>
      <c r="CL3" s="1">
        <v>13957</v>
      </c>
      <c r="CM3" s="1">
        <v>0</v>
      </c>
      <c r="CN3" s="1">
        <v>0</v>
      </c>
      <c r="CO3" s="1">
        <v>203278</v>
      </c>
      <c r="CP3" s="1">
        <v>2359900</v>
      </c>
      <c r="CQ3" s="1" t="s">
        <v>0</v>
      </c>
      <c r="CR3" s="1">
        <v>6</v>
      </c>
      <c r="CS3" s="1">
        <v>0</v>
      </c>
      <c r="CT3" s="1">
        <v>2</v>
      </c>
      <c r="CU3" s="1" t="s">
        <v>18</v>
      </c>
      <c r="CV3" s="1" t="s">
        <v>314</v>
      </c>
      <c r="CW3" s="1" t="s">
        <v>353</v>
      </c>
    </row>
    <row r="4" spans="1:101" x14ac:dyDescent="0.2">
      <c r="A4" s="2">
        <v>46204</v>
      </c>
      <c r="B4" s="1" t="s">
        <v>352</v>
      </c>
      <c r="C4" s="1" t="s">
        <v>351</v>
      </c>
      <c r="D4" s="1" t="s">
        <v>0</v>
      </c>
      <c r="E4" s="1" t="s">
        <v>0</v>
      </c>
      <c r="F4" s="1">
        <v>2</v>
      </c>
      <c r="G4" s="1" t="s">
        <v>12</v>
      </c>
      <c r="H4" s="2">
        <v>32019</v>
      </c>
      <c r="I4" s="1">
        <v>1</v>
      </c>
      <c r="J4" s="1" t="s">
        <v>11</v>
      </c>
      <c r="K4" s="2">
        <v>45387</v>
      </c>
      <c r="L4" s="2">
        <v>45387</v>
      </c>
      <c r="M4" s="1">
        <v>2</v>
      </c>
      <c r="N4" s="1">
        <v>0</v>
      </c>
      <c r="O4" s="2">
        <v>46174</v>
      </c>
      <c r="P4" s="2">
        <v>46117</v>
      </c>
      <c r="Q4" s="1">
        <v>65</v>
      </c>
      <c r="R4" s="1" t="s">
        <v>0</v>
      </c>
      <c r="S4" s="1" t="s">
        <v>10</v>
      </c>
      <c r="T4" s="1" t="s">
        <v>9</v>
      </c>
      <c r="U4" s="1" t="s">
        <v>319</v>
      </c>
      <c r="V4" s="1" t="s">
        <v>318</v>
      </c>
      <c r="W4" s="1" t="s">
        <v>350</v>
      </c>
      <c r="X4" s="1" t="s">
        <v>1</v>
      </c>
      <c r="Y4" s="1" t="s">
        <v>1</v>
      </c>
      <c r="Z4" s="1" t="s">
        <v>8</v>
      </c>
      <c r="AA4" s="1" t="s">
        <v>7</v>
      </c>
      <c r="AB4" s="1" t="s">
        <v>349</v>
      </c>
      <c r="AC4" s="1" t="s">
        <v>348</v>
      </c>
      <c r="AD4" s="1" t="s">
        <v>0</v>
      </c>
      <c r="AE4" s="1" t="s">
        <v>6</v>
      </c>
      <c r="AF4" s="1" t="s">
        <v>312</v>
      </c>
      <c r="AG4" s="1">
        <v>1</v>
      </c>
      <c r="AH4" s="2">
        <v>46204</v>
      </c>
      <c r="AI4" s="1">
        <v>0</v>
      </c>
      <c r="AJ4" s="1">
        <v>1</v>
      </c>
      <c r="AK4" s="1">
        <v>1</v>
      </c>
      <c r="AL4" s="1">
        <v>2</v>
      </c>
      <c r="AM4" s="1">
        <v>12</v>
      </c>
      <c r="AN4" s="2">
        <v>47212</v>
      </c>
      <c r="AO4" s="1" t="s">
        <v>311</v>
      </c>
      <c r="AP4" s="1">
        <v>2</v>
      </c>
      <c r="AQ4" s="1">
        <v>100</v>
      </c>
      <c r="AR4" s="2">
        <v>45292</v>
      </c>
      <c r="AS4" s="1" t="s">
        <v>4</v>
      </c>
      <c r="AT4" s="1" t="s">
        <v>2</v>
      </c>
      <c r="AU4" s="1" t="s">
        <v>3</v>
      </c>
      <c r="AV4" s="1">
        <v>0</v>
      </c>
      <c r="AW4" s="1">
        <v>2</v>
      </c>
      <c r="AX4" s="1">
        <v>0</v>
      </c>
      <c r="AY4" s="1" t="s">
        <v>3</v>
      </c>
      <c r="AZ4" s="1">
        <v>0</v>
      </c>
      <c r="BA4" s="1" t="s">
        <v>2</v>
      </c>
      <c r="BB4" s="1" t="s">
        <v>1</v>
      </c>
      <c r="BC4" s="1" t="s">
        <v>1</v>
      </c>
      <c r="BD4" s="1" t="s">
        <v>1</v>
      </c>
      <c r="BE4" s="1">
        <v>3304400</v>
      </c>
      <c r="BF4" s="1">
        <v>330440</v>
      </c>
      <c r="BG4" s="1">
        <v>132176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289680</v>
      </c>
      <c r="BR4" s="1">
        <v>0</v>
      </c>
      <c r="BS4" s="1">
        <v>158081</v>
      </c>
      <c r="BT4" s="1">
        <v>185000</v>
      </c>
      <c r="BU4" s="1">
        <v>7931</v>
      </c>
      <c r="BV4" s="1">
        <v>23792</v>
      </c>
      <c r="BW4" s="1">
        <v>0</v>
      </c>
      <c r="BX4" s="1">
        <v>52</v>
      </c>
      <c r="BY4" s="1">
        <v>4431552</v>
      </c>
      <c r="BZ4" s="1">
        <v>39520</v>
      </c>
      <c r="CA4" s="1">
        <v>158081</v>
      </c>
      <c r="CB4" s="1">
        <v>122428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7931</v>
      </c>
      <c r="CL4" s="1">
        <v>23792</v>
      </c>
      <c r="CM4" s="1">
        <v>0</v>
      </c>
      <c r="CN4" s="1">
        <v>0</v>
      </c>
      <c r="CO4" s="1">
        <v>351752</v>
      </c>
      <c r="CP4" s="1">
        <v>4079800</v>
      </c>
      <c r="CQ4" s="1" t="s">
        <v>0</v>
      </c>
      <c r="CR4" s="1">
        <v>2</v>
      </c>
      <c r="CS4" s="1">
        <v>0</v>
      </c>
      <c r="CT4" s="1">
        <v>2</v>
      </c>
      <c r="CU4" s="1" t="s">
        <v>18</v>
      </c>
      <c r="CV4" s="1" t="s">
        <v>314</v>
      </c>
      <c r="CW4" s="1" t="s">
        <v>347</v>
      </c>
    </row>
    <row r="5" spans="1:101" x14ac:dyDescent="0.2">
      <c r="A5" s="2">
        <v>46204</v>
      </c>
      <c r="B5" s="1" t="s">
        <v>346</v>
      </c>
      <c r="C5" s="1" t="s">
        <v>345</v>
      </c>
      <c r="D5" s="1" t="s">
        <v>0</v>
      </c>
      <c r="E5" s="1" t="s">
        <v>0</v>
      </c>
      <c r="F5" s="1">
        <v>2</v>
      </c>
      <c r="G5" s="1" t="s">
        <v>12</v>
      </c>
      <c r="H5" s="2">
        <v>33376</v>
      </c>
      <c r="I5" s="1">
        <v>1</v>
      </c>
      <c r="J5" s="1" t="s">
        <v>11</v>
      </c>
      <c r="K5" s="2">
        <v>45125</v>
      </c>
      <c r="L5" s="2">
        <v>45125</v>
      </c>
      <c r="M5" s="1">
        <v>2</v>
      </c>
      <c r="N5" s="1">
        <v>0</v>
      </c>
      <c r="O5" s="2">
        <v>45200</v>
      </c>
      <c r="P5" s="2">
        <v>45856</v>
      </c>
      <c r="Q5" s="1">
        <v>58</v>
      </c>
      <c r="R5" s="1" t="s">
        <v>0</v>
      </c>
      <c r="S5" s="1" t="s">
        <v>10</v>
      </c>
      <c r="T5" s="1" t="s">
        <v>9</v>
      </c>
      <c r="U5" s="1" t="s">
        <v>23</v>
      </c>
      <c r="V5" s="1" t="s">
        <v>22</v>
      </c>
      <c r="W5" s="1" t="s">
        <v>344</v>
      </c>
      <c r="X5" s="1" t="s">
        <v>1</v>
      </c>
      <c r="Y5" s="1" t="s">
        <v>1</v>
      </c>
      <c r="Z5" s="1" t="s">
        <v>8</v>
      </c>
      <c r="AA5" s="1" t="s">
        <v>7</v>
      </c>
      <c r="AB5" s="1" t="s">
        <v>343</v>
      </c>
      <c r="AC5" s="1" t="s">
        <v>91</v>
      </c>
      <c r="AD5" s="1" t="s">
        <v>0</v>
      </c>
      <c r="AE5" s="1" t="s">
        <v>6</v>
      </c>
      <c r="AF5" s="1" t="s">
        <v>342</v>
      </c>
      <c r="AG5" s="1">
        <v>1</v>
      </c>
      <c r="AH5" s="2">
        <v>46204</v>
      </c>
      <c r="AI5" s="1">
        <v>0</v>
      </c>
      <c r="AJ5" s="1">
        <v>1</v>
      </c>
      <c r="AK5" s="1">
        <v>0</v>
      </c>
      <c r="AL5" s="1">
        <v>0</v>
      </c>
      <c r="AM5" s="1">
        <v>12</v>
      </c>
      <c r="AN5" s="2">
        <v>46951</v>
      </c>
      <c r="AO5" s="1" t="s">
        <v>311</v>
      </c>
      <c r="AP5" s="1">
        <v>2</v>
      </c>
      <c r="AQ5" s="1">
        <v>100</v>
      </c>
      <c r="AR5" s="2">
        <v>45292</v>
      </c>
      <c r="AS5" s="1" t="s">
        <v>4</v>
      </c>
      <c r="AT5" s="1" t="s">
        <v>2</v>
      </c>
      <c r="AU5" s="1" t="s">
        <v>3</v>
      </c>
      <c r="AV5" s="1">
        <v>0</v>
      </c>
      <c r="AW5" s="1">
        <v>2</v>
      </c>
      <c r="AX5" s="1">
        <v>0</v>
      </c>
      <c r="AY5" s="1" t="s">
        <v>3</v>
      </c>
      <c r="AZ5" s="1">
        <v>0</v>
      </c>
      <c r="BA5" s="1" t="s">
        <v>2</v>
      </c>
      <c r="BB5" s="1" t="s">
        <v>1</v>
      </c>
      <c r="BC5" s="1" t="s">
        <v>1</v>
      </c>
      <c r="BD5" s="1" t="s">
        <v>1</v>
      </c>
      <c r="BE5" s="1">
        <v>3304400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72420</v>
      </c>
      <c r="BR5" s="1">
        <v>0</v>
      </c>
      <c r="BS5" s="1">
        <v>139576</v>
      </c>
      <c r="BT5" s="1">
        <v>185000</v>
      </c>
      <c r="BU5" s="1">
        <v>7931</v>
      </c>
      <c r="BV5" s="1">
        <v>23792</v>
      </c>
      <c r="BW5" s="1">
        <v>0</v>
      </c>
      <c r="BX5" s="1">
        <v>67</v>
      </c>
      <c r="BY5" s="1">
        <v>3733186</v>
      </c>
      <c r="BZ5" s="1">
        <v>34894</v>
      </c>
      <c r="CA5" s="1">
        <v>139576</v>
      </c>
      <c r="CB5" s="1">
        <v>107393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7931</v>
      </c>
      <c r="CL5" s="1">
        <v>23792</v>
      </c>
      <c r="CM5" s="1">
        <v>0</v>
      </c>
      <c r="CN5" s="1">
        <v>0</v>
      </c>
      <c r="CO5" s="1">
        <v>313586</v>
      </c>
      <c r="CP5" s="1">
        <v>3419600</v>
      </c>
      <c r="CQ5" s="1" t="s">
        <v>0</v>
      </c>
      <c r="CR5" s="1">
        <v>1</v>
      </c>
      <c r="CS5" s="1">
        <v>0</v>
      </c>
      <c r="CT5" s="1">
        <v>2</v>
      </c>
      <c r="CU5" s="1" t="s">
        <v>18</v>
      </c>
      <c r="CV5" s="1" t="s">
        <v>17</v>
      </c>
      <c r="CW5" s="1" t="s">
        <v>341</v>
      </c>
    </row>
    <row r="6" spans="1:101" x14ac:dyDescent="0.2">
      <c r="A6" s="2">
        <v>46204</v>
      </c>
      <c r="B6" s="1" t="s">
        <v>340</v>
      </c>
      <c r="C6" s="1" t="s">
        <v>339</v>
      </c>
      <c r="D6" s="1" t="s">
        <v>0</v>
      </c>
      <c r="E6" s="1" t="s">
        <v>0</v>
      </c>
      <c r="F6" s="1">
        <v>1</v>
      </c>
      <c r="G6" s="1" t="s">
        <v>12</v>
      </c>
      <c r="H6" s="2">
        <v>33490</v>
      </c>
      <c r="I6" s="1">
        <v>1</v>
      </c>
      <c r="J6" s="1" t="s">
        <v>15</v>
      </c>
      <c r="K6" s="2">
        <v>45231</v>
      </c>
      <c r="L6" s="2">
        <v>45231</v>
      </c>
      <c r="M6" s="1">
        <v>2</v>
      </c>
      <c r="N6" s="1">
        <v>0</v>
      </c>
      <c r="O6" s="2">
        <v>45931</v>
      </c>
      <c r="P6" s="2">
        <v>46023</v>
      </c>
      <c r="Q6" s="1">
        <v>65</v>
      </c>
      <c r="R6" s="1" t="s">
        <v>0</v>
      </c>
      <c r="S6" s="1" t="s">
        <v>10</v>
      </c>
      <c r="T6" s="1" t="s">
        <v>9</v>
      </c>
      <c r="U6" s="1" t="s">
        <v>23</v>
      </c>
      <c r="V6" s="1" t="s">
        <v>22</v>
      </c>
      <c r="W6" s="1" t="s">
        <v>338</v>
      </c>
      <c r="Z6" s="1" t="s">
        <v>8</v>
      </c>
      <c r="AA6" s="1" t="s">
        <v>7</v>
      </c>
      <c r="AB6" s="1" t="s">
        <v>337</v>
      </c>
      <c r="AC6" s="1" t="s">
        <v>336</v>
      </c>
      <c r="AD6" s="1" t="s">
        <v>0</v>
      </c>
      <c r="AE6" s="1" t="s">
        <v>6</v>
      </c>
      <c r="AF6" s="1" t="s">
        <v>335</v>
      </c>
      <c r="AG6" s="1">
        <v>1</v>
      </c>
      <c r="AH6" s="2">
        <v>46204</v>
      </c>
      <c r="AI6" s="1">
        <v>0</v>
      </c>
      <c r="AJ6" s="1">
        <v>1</v>
      </c>
      <c r="AK6" s="1">
        <v>0</v>
      </c>
      <c r="AL6" s="1">
        <v>0</v>
      </c>
      <c r="AM6" s="1">
        <v>12</v>
      </c>
      <c r="AN6" s="2">
        <v>47080</v>
      </c>
      <c r="AO6" s="1" t="s">
        <v>311</v>
      </c>
      <c r="AP6" s="1">
        <v>2</v>
      </c>
      <c r="AQ6" s="1">
        <v>100</v>
      </c>
      <c r="AR6" s="2">
        <v>45292</v>
      </c>
      <c r="AS6" s="1" t="s">
        <v>4</v>
      </c>
      <c r="AT6" s="1" t="s">
        <v>2</v>
      </c>
      <c r="AU6" s="1" t="s">
        <v>3</v>
      </c>
      <c r="AV6" s="1">
        <v>0</v>
      </c>
      <c r="AW6" s="1">
        <v>2</v>
      </c>
      <c r="AX6" s="1">
        <v>0</v>
      </c>
      <c r="AY6" s="1" t="s">
        <v>3</v>
      </c>
      <c r="AZ6" s="1">
        <v>0</v>
      </c>
      <c r="BA6" s="1" t="s">
        <v>2</v>
      </c>
      <c r="BB6" s="1" t="s">
        <v>1</v>
      </c>
      <c r="BC6" s="1" t="s">
        <v>1</v>
      </c>
      <c r="BD6" s="1" t="s">
        <v>1</v>
      </c>
      <c r="BE6" s="1">
        <v>3304400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72420</v>
      </c>
      <c r="BR6" s="1">
        <v>0</v>
      </c>
      <c r="BS6" s="1">
        <v>139576</v>
      </c>
      <c r="BT6" s="1">
        <v>185000</v>
      </c>
      <c r="BU6" s="1">
        <v>7931</v>
      </c>
      <c r="BV6" s="1">
        <v>23792</v>
      </c>
      <c r="BW6" s="1">
        <v>0</v>
      </c>
      <c r="BX6" s="1">
        <v>67</v>
      </c>
      <c r="BY6" s="1">
        <v>3733186</v>
      </c>
      <c r="BZ6" s="1">
        <v>34894</v>
      </c>
      <c r="CA6" s="1">
        <v>139576</v>
      </c>
      <c r="CB6" s="1">
        <v>107393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7931</v>
      </c>
      <c r="CL6" s="1">
        <v>23792</v>
      </c>
      <c r="CM6" s="1">
        <v>0</v>
      </c>
      <c r="CN6" s="1">
        <v>0</v>
      </c>
      <c r="CO6" s="1">
        <v>313586</v>
      </c>
      <c r="CP6" s="1">
        <v>3419600</v>
      </c>
      <c r="CQ6" s="1" t="s">
        <v>0</v>
      </c>
      <c r="CR6" s="1">
        <v>2</v>
      </c>
      <c r="CS6" s="1">
        <v>0</v>
      </c>
      <c r="CT6" s="1">
        <v>1</v>
      </c>
      <c r="CU6" s="1" t="s">
        <v>18</v>
      </c>
      <c r="CV6" s="1" t="s">
        <v>17</v>
      </c>
      <c r="CW6" s="1" t="s">
        <v>334</v>
      </c>
    </row>
    <row r="7" spans="1:101" x14ac:dyDescent="0.2">
      <c r="A7" s="2">
        <v>46204</v>
      </c>
      <c r="B7" s="1" t="s">
        <v>333</v>
      </c>
      <c r="C7" s="1" t="s">
        <v>332</v>
      </c>
      <c r="D7" s="1" t="s">
        <v>0</v>
      </c>
      <c r="E7" s="1" t="s">
        <v>0</v>
      </c>
      <c r="F7" s="1">
        <v>1</v>
      </c>
      <c r="G7" s="1" t="s">
        <v>12</v>
      </c>
      <c r="H7" s="2">
        <v>33419</v>
      </c>
      <c r="I7" s="1">
        <v>1</v>
      </c>
      <c r="J7" s="1" t="s">
        <v>11</v>
      </c>
      <c r="K7" s="2">
        <v>45387</v>
      </c>
      <c r="L7" s="2">
        <v>45387</v>
      </c>
      <c r="M7" s="1">
        <v>2</v>
      </c>
      <c r="N7" s="1">
        <v>0</v>
      </c>
      <c r="O7" s="2">
        <v>46174</v>
      </c>
      <c r="P7" s="2">
        <v>46117</v>
      </c>
      <c r="Q7" s="1">
        <v>65</v>
      </c>
      <c r="R7" s="1" t="s">
        <v>0</v>
      </c>
      <c r="S7" s="1" t="s">
        <v>10</v>
      </c>
      <c r="T7" s="1" t="s">
        <v>9</v>
      </c>
      <c r="U7" s="1" t="s">
        <v>319</v>
      </c>
      <c r="V7" s="1" t="s">
        <v>318</v>
      </c>
      <c r="W7" s="1" t="s">
        <v>331</v>
      </c>
      <c r="X7" s="1" t="s">
        <v>1</v>
      </c>
      <c r="Y7" s="1" t="s">
        <v>1</v>
      </c>
      <c r="Z7" s="1" t="s">
        <v>8</v>
      </c>
      <c r="AA7" s="1" t="s">
        <v>7</v>
      </c>
      <c r="AB7" s="1" t="s">
        <v>330</v>
      </c>
      <c r="AC7" s="1" t="s">
        <v>329</v>
      </c>
      <c r="AD7" s="1" t="s">
        <v>0</v>
      </c>
      <c r="AE7" s="1" t="s">
        <v>6</v>
      </c>
      <c r="AF7" s="1" t="s">
        <v>312</v>
      </c>
      <c r="AG7" s="1">
        <v>1</v>
      </c>
      <c r="AH7" s="2">
        <v>46204</v>
      </c>
      <c r="AI7" s="1">
        <v>0</v>
      </c>
      <c r="AJ7" s="1">
        <v>1</v>
      </c>
      <c r="AK7" s="1">
        <v>1</v>
      </c>
      <c r="AL7" s="1">
        <v>1</v>
      </c>
      <c r="AM7" s="1">
        <v>12</v>
      </c>
      <c r="AN7" s="2">
        <v>47212</v>
      </c>
      <c r="AO7" s="1" t="s">
        <v>311</v>
      </c>
      <c r="AP7" s="1">
        <v>2</v>
      </c>
      <c r="AQ7" s="1">
        <v>100</v>
      </c>
      <c r="AR7" s="2">
        <v>45292</v>
      </c>
      <c r="AS7" s="1" t="s">
        <v>4</v>
      </c>
      <c r="AT7" s="1" t="s">
        <v>2</v>
      </c>
      <c r="AU7" s="1" t="s">
        <v>3</v>
      </c>
      <c r="AV7" s="1">
        <v>0</v>
      </c>
      <c r="AW7" s="1">
        <v>2</v>
      </c>
      <c r="AX7" s="1">
        <v>0</v>
      </c>
      <c r="AY7" s="1" t="s">
        <v>3</v>
      </c>
      <c r="AZ7" s="1">
        <v>0</v>
      </c>
      <c r="BA7" s="1" t="s">
        <v>2</v>
      </c>
      <c r="BB7" s="1" t="s">
        <v>1</v>
      </c>
      <c r="BC7" s="1" t="s">
        <v>1</v>
      </c>
      <c r="BD7" s="1" t="s">
        <v>1</v>
      </c>
      <c r="BE7" s="1">
        <v>3304400</v>
      </c>
      <c r="BF7" s="1">
        <v>330440</v>
      </c>
      <c r="BG7" s="1">
        <v>66088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217260</v>
      </c>
      <c r="BR7" s="1">
        <v>0</v>
      </c>
      <c r="BS7" s="1">
        <v>155437</v>
      </c>
      <c r="BT7" s="1">
        <v>185000</v>
      </c>
      <c r="BU7" s="1">
        <v>7931</v>
      </c>
      <c r="BV7" s="1">
        <v>23792</v>
      </c>
      <c r="BW7" s="1">
        <v>0</v>
      </c>
      <c r="BX7" s="1">
        <v>51</v>
      </c>
      <c r="BY7" s="1">
        <v>4290399</v>
      </c>
      <c r="BZ7" s="1">
        <v>38859</v>
      </c>
      <c r="CA7" s="1">
        <v>155437</v>
      </c>
      <c r="CB7" s="1">
        <v>120280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7931</v>
      </c>
      <c r="CL7" s="1">
        <v>23792</v>
      </c>
      <c r="CM7" s="1">
        <v>0</v>
      </c>
      <c r="CN7" s="1">
        <v>0</v>
      </c>
      <c r="CO7" s="1">
        <v>346299</v>
      </c>
      <c r="CP7" s="1">
        <v>3944100</v>
      </c>
      <c r="CQ7" s="1" t="s">
        <v>0</v>
      </c>
      <c r="CR7" s="1">
        <v>3</v>
      </c>
      <c r="CS7" s="1">
        <v>0</v>
      </c>
      <c r="CT7" s="1">
        <v>2</v>
      </c>
      <c r="CU7" s="1" t="s">
        <v>18</v>
      </c>
      <c r="CV7" s="1" t="s">
        <v>314</v>
      </c>
      <c r="CW7" s="1" t="s">
        <v>328</v>
      </c>
    </row>
    <row r="8" spans="1:101" x14ac:dyDescent="0.2">
      <c r="A8" s="2">
        <v>46204</v>
      </c>
      <c r="B8" s="1" t="s">
        <v>327</v>
      </c>
      <c r="C8" s="1" t="s">
        <v>326</v>
      </c>
      <c r="D8" s="1" t="s">
        <v>0</v>
      </c>
      <c r="E8" s="1" t="s">
        <v>0</v>
      </c>
      <c r="F8" s="1">
        <v>2</v>
      </c>
      <c r="G8" s="1" t="s">
        <v>12</v>
      </c>
      <c r="H8" s="2">
        <v>35363</v>
      </c>
      <c r="I8" s="1">
        <v>1</v>
      </c>
      <c r="J8" s="1" t="s">
        <v>11</v>
      </c>
      <c r="K8" s="2">
        <v>45387</v>
      </c>
      <c r="L8" s="2">
        <v>45387</v>
      </c>
      <c r="M8" s="1">
        <v>2</v>
      </c>
      <c r="N8" s="1">
        <v>0</v>
      </c>
      <c r="O8" s="2">
        <v>46174</v>
      </c>
      <c r="P8" s="2">
        <v>46117</v>
      </c>
      <c r="Q8" s="1">
        <v>65</v>
      </c>
      <c r="R8" s="1" t="s">
        <v>0</v>
      </c>
      <c r="S8" s="1" t="s">
        <v>10</v>
      </c>
      <c r="T8" s="1" t="s">
        <v>9</v>
      </c>
      <c r="U8" s="1" t="s">
        <v>319</v>
      </c>
      <c r="V8" s="1" t="s">
        <v>318</v>
      </c>
      <c r="W8" s="1" t="s">
        <v>325</v>
      </c>
      <c r="X8" s="1" t="s">
        <v>1</v>
      </c>
      <c r="Y8" s="1" t="s">
        <v>1</v>
      </c>
      <c r="Z8" s="1" t="s">
        <v>8</v>
      </c>
      <c r="AA8" s="1" t="s">
        <v>7</v>
      </c>
      <c r="AB8" s="1" t="s">
        <v>324</v>
      </c>
      <c r="AC8" s="1" t="s">
        <v>323</v>
      </c>
      <c r="AD8" s="1" t="s">
        <v>0</v>
      </c>
      <c r="AE8" s="1" t="s">
        <v>6</v>
      </c>
      <c r="AF8" s="1" t="s">
        <v>312</v>
      </c>
      <c r="AG8" s="1">
        <v>1</v>
      </c>
      <c r="AH8" s="2">
        <v>46204</v>
      </c>
      <c r="AI8" s="1">
        <v>0</v>
      </c>
      <c r="AJ8" s="1">
        <v>1</v>
      </c>
      <c r="AK8" s="1">
        <v>0</v>
      </c>
      <c r="AL8" s="1">
        <v>0</v>
      </c>
      <c r="AM8" s="1">
        <v>12</v>
      </c>
      <c r="AN8" s="2">
        <v>47212</v>
      </c>
      <c r="AO8" s="1" t="s">
        <v>311</v>
      </c>
      <c r="AP8" s="1">
        <v>2</v>
      </c>
      <c r="AQ8" s="1">
        <v>100</v>
      </c>
      <c r="AR8" s="2">
        <v>45292</v>
      </c>
      <c r="AS8" s="1" t="s">
        <v>4</v>
      </c>
      <c r="AT8" s="1" t="s">
        <v>2</v>
      </c>
      <c r="AU8" s="1" t="s">
        <v>3</v>
      </c>
      <c r="AV8" s="1">
        <v>0</v>
      </c>
      <c r="AW8" s="1">
        <v>2</v>
      </c>
      <c r="AX8" s="1">
        <v>0</v>
      </c>
      <c r="AY8" s="1" t="s">
        <v>3</v>
      </c>
      <c r="AZ8" s="1">
        <v>0</v>
      </c>
      <c r="BA8" s="1" t="s">
        <v>2</v>
      </c>
      <c r="BB8" s="1" t="s">
        <v>1</v>
      </c>
      <c r="BC8" s="1" t="s">
        <v>1</v>
      </c>
      <c r="BD8" s="1" t="s">
        <v>1</v>
      </c>
      <c r="BE8" s="1">
        <v>3304400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72420</v>
      </c>
      <c r="BR8" s="1">
        <v>0</v>
      </c>
      <c r="BS8" s="1">
        <v>139576</v>
      </c>
      <c r="BT8" s="1">
        <v>185000</v>
      </c>
      <c r="BU8" s="1">
        <v>7931</v>
      </c>
      <c r="BV8" s="1">
        <v>23792</v>
      </c>
      <c r="BW8" s="1">
        <v>0</v>
      </c>
      <c r="BX8" s="1">
        <v>67</v>
      </c>
      <c r="BY8" s="1">
        <v>3733186</v>
      </c>
      <c r="BZ8" s="1">
        <v>34894</v>
      </c>
      <c r="CA8" s="1">
        <v>139576</v>
      </c>
      <c r="CB8" s="1">
        <v>107393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7931</v>
      </c>
      <c r="CL8" s="1">
        <v>23792</v>
      </c>
      <c r="CM8" s="1">
        <v>0</v>
      </c>
      <c r="CN8" s="1">
        <v>0</v>
      </c>
      <c r="CO8" s="1">
        <v>313586</v>
      </c>
      <c r="CP8" s="1">
        <v>3419600</v>
      </c>
      <c r="CQ8" s="1" t="s">
        <v>0</v>
      </c>
      <c r="CR8" s="1">
        <v>4</v>
      </c>
      <c r="CS8" s="1">
        <v>0</v>
      </c>
      <c r="CT8" s="1">
        <v>1</v>
      </c>
      <c r="CU8" s="1" t="s">
        <v>18</v>
      </c>
      <c r="CV8" s="1" t="s">
        <v>314</v>
      </c>
      <c r="CW8" s="1" t="s">
        <v>322</v>
      </c>
    </row>
    <row r="9" spans="1:101" x14ac:dyDescent="0.2">
      <c r="A9" s="2">
        <v>46204</v>
      </c>
      <c r="B9" s="1" t="s">
        <v>321</v>
      </c>
      <c r="C9" s="1" t="s">
        <v>320</v>
      </c>
      <c r="D9" s="1" t="s">
        <v>0</v>
      </c>
      <c r="E9" s="1" t="s">
        <v>0</v>
      </c>
      <c r="F9" s="1">
        <v>1</v>
      </c>
      <c r="G9" s="1" t="s">
        <v>12</v>
      </c>
      <c r="H9" s="2">
        <v>35902</v>
      </c>
      <c r="I9" s="1">
        <v>1</v>
      </c>
      <c r="J9" s="1" t="s">
        <v>310</v>
      </c>
      <c r="K9" s="2">
        <v>45901</v>
      </c>
      <c r="L9" s="2">
        <v>45901</v>
      </c>
      <c r="M9" s="1">
        <v>0</v>
      </c>
      <c r="N9" s="1">
        <v>0</v>
      </c>
      <c r="O9" s="2">
        <v>45901</v>
      </c>
      <c r="P9" s="2">
        <v>46266</v>
      </c>
      <c r="Q9" s="1">
        <v>58</v>
      </c>
      <c r="R9" s="1" t="s">
        <v>3</v>
      </c>
      <c r="S9" s="1" t="s">
        <v>10</v>
      </c>
      <c r="T9" s="1" t="s">
        <v>9</v>
      </c>
      <c r="U9" s="1" t="s">
        <v>319</v>
      </c>
      <c r="V9" s="1" t="s">
        <v>318</v>
      </c>
      <c r="W9" s="1" t="s">
        <v>317</v>
      </c>
      <c r="X9" s="1" t="s">
        <v>1</v>
      </c>
      <c r="Y9" s="1" t="s">
        <v>1</v>
      </c>
      <c r="Z9" s="1" t="s">
        <v>8</v>
      </c>
      <c r="AA9" s="1" t="s">
        <v>7</v>
      </c>
      <c r="AB9" s="1" t="s">
        <v>316</v>
      </c>
      <c r="AC9" s="1" t="s">
        <v>313</v>
      </c>
      <c r="AD9" s="1" t="s">
        <v>0</v>
      </c>
      <c r="AE9" s="1" t="s">
        <v>6</v>
      </c>
      <c r="AF9" s="1" t="s">
        <v>315</v>
      </c>
      <c r="AG9" s="1">
        <v>1</v>
      </c>
      <c r="AH9" s="2">
        <v>46204</v>
      </c>
      <c r="AI9" s="1">
        <v>0</v>
      </c>
      <c r="AJ9" s="1">
        <v>1</v>
      </c>
      <c r="AK9" s="1">
        <v>1</v>
      </c>
      <c r="AL9" s="1">
        <v>1</v>
      </c>
      <c r="AM9" s="1">
        <v>12</v>
      </c>
      <c r="AN9" s="2">
        <v>46265</v>
      </c>
      <c r="AO9" s="1" t="s">
        <v>309</v>
      </c>
      <c r="AP9" s="1">
        <v>0</v>
      </c>
      <c r="AQ9" s="1">
        <v>100</v>
      </c>
      <c r="AR9" s="2">
        <v>45292</v>
      </c>
      <c r="AS9" s="1" t="s">
        <v>4</v>
      </c>
      <c r="AT9" s="1" t="s">
        <v>2</v>
      </c>
      <c r="AU9" s="1" t="s">
        <v>3</v>
      </c>
      <c r="AV9" s="1">
        <v>0</v>
      </c>
      <c r="AW9" s="1">
        <v>2</v>
      </c>
      <c r="AX9" s="1">
        <v>0</v>
      </c>
      <c r="AY9" s="1" t="s">
        <v>3</v>
      </c>
      <c r="AZ9" s="1">
        <v>0</v>
      </c>
      <c r="BA9" s="1" t="s">
        <v>2</v>
      </c>
      <c r="BB9" s="1" t="s">
        <v>1</v>
      </c>
      <c r="BC9" s="1" t="s">
        <v>1</v>
      </c>
      <c r="BD9" s="1" t="s">
        <v>1</v>
      </c>
      <c r="BE9" s="1">
        <v>2511500</v>
      </c>
      <c r="BF9" s="1">
        <v>251150</v>
      </c>
      <c r="BG9" s="1">
        <v>50230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217260</v>
      </c>
      <c r="BR9" s="1">
        <v>0</v>
      </c>
      <c r="BS9" s="1">
        <v>119715</v>
      </c>
      <c r="BT9" s="1">
        <v>180000</v>
      </c>
      <c r="BU9" s="1">
        <v>6028</v>
      </c>
      <c r="BV9" s="1">
        <v>18083</v>
      </c>
      <c r="BW9" s="1">
        <v>0</v>
      </c>
      <c r="BX9" s="1">
        <v>8</v>
      </c>
      <c r="BY9" s="1">
        <v>3353974</v>
      </c>
      <c r="BZ9" s="1">
        <v>29929</v>
      </c>
      <c r="CA9" s="1">
        <v>119715</v>
      </c>
      <c r="CB9" s="1">
        <v>91419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6028</v>
      </c>
      <c r="CL9" s="1">
        <v>18083</v>
      </c>
      <c r="CM9" s="1">
        <v>0</v>
      </c>
      <c r="CN9" s="1">
        <v>0</v>
      </c>
      <c r="CO9" s="1">
        <v>265174</v>
      </c>
      <c r="CP9" s="1">
        <v>3088800</v>
      </c>
      <c r="CQ9" s="1" t="s">
        <v>0</v>
      </c>
      <c r="CR9" s="1">
        <v>5</v>
      </c>
      <c r="CS9" s="1">
        <v>0</v>
      </c>
      <c r="CT9" s="1">
        <v>2</v>
      </c>
      <c r="CU9" s="1" t="s">
        <v>18</v>
      </c>
      <c r="CV9" s="1" t="s">
        <v>314</v>
      </c>
      <c r="CW9" s="1" t="s">
        <v>313</v>
      </c>
    </row>
  </sheetData>
  <autoFilter ref="A1:CW9" xr:uid="{D0B5B1E7-8EA6-4D4E-BCFB-9BF350C7B287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pnsd</vt:lpstr>
      <vt:lpstr>pppk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 Muhammad</dc:creator>
  <cp:lastModifiedBy>Fuad Muhammad</cp:lastModifiedBy>
  <dcterms:created xsi:type="dcterms:W3CDTF">2026-08-01T12:54:45Z</dcterms:created>
  <dcterms:modified xsi:type="dcterms:W3CDTF">2026-08-05T23:14:46Z</dcterms:modified>
</cp:coreProperties>
</file>