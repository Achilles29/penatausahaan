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b3afb7591a53d0/_office/2026/NPD26/sudah/"/>
    </mc:Choice>
  </mc:AlternateContent>
  <xr:revisionPtr revIDLastSave="1" documentId="13_ncr:1_{4603097E-EA00-4454-87CB-458EA130C7AA}" xr6:coauthVersionLast="47" xr6:coauthVersionMax="47" xr10:uidLastSave="{290DF4F5-A7AE-4D37-BC69-D6FA3E1DB099}"/>
  <bookViews>
    <workbookView xWindow="-120" yWindow="-120" windowWidth="29040" windowHeight="15720" xr2:uid="{00000000-000D-0000-FFFF-FFFF00000000}"/>
  </bookViews>
  <sheets>
    <sheet name="npd" sheetId="26" r:id="rId1"/>
    <sheet name="Pinbuk" sheetId="33" r:id="rId2"/>
  </sheets>
  <definedNames>
    <definedName name="_xlnm.Print_Area" localSheetId="0">npd!$A$1:$P$240</definedName>
    <definedName name="_xlnm.Print_Area" localSheetId="1">Pinbuk!$A$1:$O$38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33" l="1"/>
  <c r="P30" i="26"/>
  <c r="J26" i="33"/>
  <c r="J27" i="33"/>
  <c r="L28" i="33" s="1"/>
  <c r="P32" i="26" s="1"/>
  <c r="J28" i="33"/>
  <c r="P34" i="26" l="1"/>
  <c r="D8" i="33" l="1"/>
</calcChain>
</file>

<file path=xl/sharedStrings.xml><?xml version="1.0" encoding="utf-8"?>
<sst xmlns="http://schemas.openxmlformats.org/spreadsheetml/2006/main" count="117" uniqueCount="86">
  <si>
    <t>PEMERINTAH KABUPATEN REMBANG</t>
  </si>
  <si>
    <t>Nomor</t>
  </si>
  <si>
    <t>Lamp</t>
  </si>
  <si>
    <t>:</t>
  </si>
  <si>
    <t>Perihal</t>
  </si>
  <si>
    <t>Dengan hormat,</t>
  </si>
  <si>
    <t>NIP</t>
  </si>
  <si>
    <t xml:space="preserve">Jabatan </t>
  </si>
  <si>
    <t xml:space="preserve">Nama </t>
  </si>
  <si>
    <t>No</t>
  </si>
  <si>
    <t>Jumlah</t>
  </si>
  <si>
    <t>Yang bertanda tangan di bawah ini :</t>
  </si>
  <si>
    <t>Belanja</t>
  </si>
  <si>
    <t>Kode Rekening</t>
  </si>
  <si>
    <t>PPK SKPD</t>
  </si>
  <si>
    <t>Bendahara Pengeluaran</t>
  </si>
  <si>
    <t>Kepada</t>
  </si>
  <si>
    <t>Yth</t>
  </si>
  <si>
    <t>Di</t>
  </si>
  <si>
    <t>Rembang</t>
  </si>
  <si>
    <t>01</t>
  </si>
  <si>
    <t>Kegiatan</t>
  </si>
  <si>
    <t>DINAS KEARSIPAN DAN PERPUSTAKAAN</t>
  </si>
  <si>
    <r>
      <t xml:space="preserve">Jl.Piere Tandean No 2 </t>
    </r>
    <r>
      <rPr>
        <sz val="12"/>
        <color theme="1"/>
        <rFont val="Wingdings"/>
        <charset val="2"/>
      </rPr>
      <t>(</t>
    </r>
    <r>
      <rPr>
        <sz val="12"/>
        <color theme="1"/>
        <rFont val="Arial Narrow"/>
        <family val="2"/>
      </rPr>
      <t>/Fax. (0295) 691103</t>
    </r>
  </si>
  <si>
    <t xml:space="preserve">Website:http//www.rembangkab.go.id </t>
  </si>
  <si>
    <t xml:space="preserve">PPTK  Bidang Perpustakaan </t>
  </si>
  <si>
    <t>Dinas Arpus  Kab.Rembang</t>
  </si>
  <si>
    <t>PPTK Bidang Perpustakaan Dinas Arpus Kab. Rembang</t>
  </si>
  <si>
    <t>02</t>
  </si>
  <si>
    <t>Dinas Arpus Kab. Rembang</t>
  </si>
  <si>
    <t xml:space="preserve">Bendahara Pengeluaran </t>
  </si>
  <si>
    <t>Program</t>
  </si>
  <si>
    <t>Sub Kegiatan</t>
  </si>
  <si>
    <t>:             /            / 2021</t>
  </si>
  <si>
    <t>:   Permintaan Pembayaran Keg. Non Tunai</t>
  </si>
  <si>
    <t xml:space="preserve"> -</t>
  </si>
  <si>
    <t>04</t>
  </si>
  <si>
    <t>MUKHAMMAD ANWAR FU'ADI, S.STP, M.Si</t>
  </si>
  <si>
    <t>19890129 201206 1 001</t>
  </si>
  <si>
    <t>NIP. 19890129 201206 1 001</t>
  </si>
  <si>
    <t>NO</t>
  </si>
  <si>
    <t>NAMA</t>
  </si>
  <si>
    <t>001</t>
  </si>
  <si>
    <t>00003</t>
  </si>
  <si>
    <t>Pekerjaan</t>
  </si>
  <si>
    <t>Sumber Dana</t>
  </si>
  <si>
    <t>DAK Non Fisik</t>
  </si>
  <si>
    <t>Nama Penerima</t>
  </si>
  <si>
    <t>Nomor Rekening Bank</t>
  </si>
  <si>
    <t>Keterangan Belanja</t>
  </si>
  <si>
    <t>JUMLAH</t>
  </si>
  <si>
    <t xml:space="preserve"> - Belanja BBM </t>
  </si>
  <si>
    <t>NO REKENING</t>
  </si>
  <si>
    <t>JUMLAH PENERIMAAN</t>
  </si>
  <si>
    <t>Pembinaan Perpustakaan</t>
  </si>
  <si>
    <t>0011</t>
  </si>
  <si>
    <t>UMI FARIHAH, S.E</t>
  </si>
  <si>
    <t>00004</t>
  </si>
  <si>
    <t>Belanja Bahan-Bahan Bakar dan Pelumas</t>
  </si>
  <si>
    <t>Belanja Perjalanan Dinas Dalam Kota</t>
  </si>
  <si>
    <t>Sosialisasi Budaya Baca dan Literasi pada Satuan Pendidikan Dasar dan Masyarakat</t>
  </si>
  <si>
    <t>Lomba Bertutur Tingkat SD</t>
  </si>
  <si>
    <t>Rembang , 11 Juni 2026</t>
  </si>
  <si>
    <t xml:space="preserve"> 900 /          / 06 / 2026           </t>
  </si>
  <si>
    <t>MUHAMMAD ALI SODIQIN</t>
  </si>
  <si>
    <t>Pembudayaan Gemar Membaca Tingkat Daerah Kabupaten/Kota</t>
  </si>
  <si>
    <t>JABATAN</t>
  </si>
  <si>
    <t>GOL</t>
  </si>
  <si>
    <t>SPPD</t>
  </si>
  <si>
    <t>REPRESENTASI</t>
  </si>
  <si>
    <t>PENGINAPAN</t>
  </si>
  <si>
    <t>TOL</t>
  </si>
  <si>
    <t>199702262025211016</t>
  </si>
  <si>
    <t>Pengadministrasi Perkantoran</t>
  </si>
  <si>
    <t>V</t>
  </si>
  <si>
    <t>INDAH WAHYUNINGSIH, S.I.Pust.</t>
  </si>
  <si>
    <t>Pustakawan Ahli Pertama</t>
  </si>
  <si>
    <t>IX</t>
  </si>
  <si>
    <t>DIAH ARISTA SUHANDINI QQ ANGGIT GURIT MANGIR</t>
  </si>
  <si>
    <t>147801001381504</t>
  </si>
  <si>
    <t>Penata Layanan Operasional</t>
  </si>
  <si>
    <r>
      <t xml:space="preserve">Mohon untuk dapat menyiapkan dana sebesar Rp. 4.506.666,- ( Empat juta lima ratus enam ribu enam ratus enam puluh enam rupiah ) guna pembayaran </t>
    </r>
    <r>
      <rPr>
        <b/>
        <u/>
        <sz val="12"/>
        <color theme="1"/>
        <rFont val="Times New Roman"/>
        <family val="1"/>
      </rPr>
      <t>Non Tunai</t>
    </r>
    <r>
      <rPr>
        <sz val="12"/>
        <color theme="1"/>
        <rFont val="Times New Roman"/>
        <family val="1"/>
      </rPr>
      <t xml:space="preserve"> atas kegiatan belanja daerah dengan perincian sebagai berikut :</t>
    </r>
  </si>
  <si>
    <t>PEMINDAHBUKUAN BBM LOMBA BERTUTUR TINGKAT SD</t>
  </si>
  <si>
    <t>LAMPIRAN PENERIMAAN UANG PERJALANAN DINAS LOMBA BERTUTUR TINGKAT SD</t>
  </si>
  <si>
    <t>198708302024212002</t>
  </si>
  <si>
    <t>197910042025212009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</si>
</sst>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41" formatCode="_-* #,##0_-;\-* #,##0_-;_-* &quot;-&quot;_-;_-@_-"/>
    <numFmt numFmtId="164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theme="1"/>
      <name val="Wingdings"/>
      <charset val="2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indent="5"/>
    </xf>
    <xf numFmtId="0" fontId="2" fillId="0" borderId="0" xfId="0" applyFont="1" applyAlignment="1">
      <alignment horizontal="justify"/>
    </xf>
    <xf numFmtId="0" fontId="1" fillId="0" borderId="0" xfId="0" applyFont="1"/>
    <xf numFmtId="0" fontId="2" fillId="0" borderId="0" xfId="0" applyFont="1" applyAlignment="1">
      <alignment horizontal="righ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quotePrefix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7" xfId="0" applyFont="1" applyBorder="1" applyAlignment="1">
      <alignment horizontal="center" vertical="top"/>
    </xf>
    <xf numFmtId="0" fontId="2" fillId="0" borderId="0" xfId="0" quotePrefix="1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quotePrefix="1" applyFont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164" fontId="2" fillId="0" borderId="0" xfId="1" applyFont="1" applyBorder="1" applyAlignment="1">
      <alignment vertical="top"/>
    </xf>
    <xf numFmtId="164" fontId="2" fillId="0" borderId="0" xfId="1" applyFont="1" applyBorder="1" applyAlignment="1">
      <alignment horizontal="center" vertical="top"/>
    </xf>
    <xf numFmtId="164" fontId="2" fillId="0" borderId="0" xfId="1" applyFont="1" applyBorder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41" fontId="2" fillId="0" borderId="5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/>
    </xf>
    <xf numFmtId="0" fontId="2" fillId="0" borderId="9" xfId="0" quotePrefix="1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41" fontId="2" fillId="0" borderId="9" xfId="1" applyNumberFormat="1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8" fillId="0" borderId="4" xfId="0" applyFont="1" applyBorder="1"/>
    <xf numFmtId="0" fontId="8" fillId="0" borderId="3" xfId="0" applyFont="1" applyBorder="1"/>
    <xf numFmtId="41" fontId="8" fillId="0" borderId="3" xfId="0" applyNumberFormat="1" applyFont="1" applyBorder="1"/>
    <xf numFmtId="0" fontId="8" fillId="0" borderId="8" xfId="0" applyFont="1" applyBorder="1"/>
    <xf numFmtId="3" fontId="8" fillId="0" borderId="0" xfId="0" applyNumberFormat="1" applyFont="1"/>
    <xf numFmtId="41" fontId="2" fillId="0" borderId="10" xfId="0" applyNumberFormat="1" applyFont="1" applyBorder="1" applyAlignment="1">
      <alignment horizontal="center"/>
    </xf>
    <xf numFmtId="41" fontId="2" fillId="0" borderId="5" xfId="1" applyNumberFormat="1" applyFont="1" applyBorder="1" applyAlignment="1">
      <alignment horizontal="center" vertical="top"/>
    </xf>
    <xf numFmtId="3" fontId="1" fillId="0" borderId="0" xfId="0" applyNumberFormat="1" applyFont="1"/>
    <xf numFmtId="3" fontId="2" fillId="0" borderId="0" xfId="0" applyNumberFormat="1" applyFont="1"/>
    <xf numFmtId="3" fontId="2" fillId="0" borderId="0" xfId="0" applyNumberFormat="1" applyFont="1" applyAlignment="1">
      <alignment horizontal="left" wrapText="1"/>
    </xf>
    <xf numFmtId="3" fontId="8" fillId="0" borderId="0" xfId="1" applyNumberFormat="1" applyFont="1"/>
    <xf numFmtId="3" fontId="8" fillId="0" borderId="0" xfId="0" applyNumberFormat="1" applyFont="1" applyAlignment="1">
      <alignment horizontal="right"/>
    </xf>
    <xf numFmtId="0" fontId="2" fillId="0" borderId="6" xfId="0" applyFont="1" applyBorder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41" fontId="2" fillId="0" borderId="5" xfId="0" applyNumberFormat="1" applyFont="1" applyBorder="1" applyAlignment="1">
      <alignment horizontal="center"/>
    </xf>
    <xf numFmtId="3" fontId="0" fillId="0" borderId="0" xfId="0" applyNumberFormat="1"/>
    <xf numFmtId="0" fontId="9" fillId="0" borderId="0" xfId="0" applyFont="1"/>
    <xf numFmtId="42" fontId="9" fillId="0" borderId="0" xfId="0" applyNumberFormat="1" applyFont="1"/>
    <xf numFmtId="42" fontId="2" fillId="0" borderId="0" xfId="0" applyNumberFormat="1" applyFont="1"/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41" fontId="2" fillId="0" borderId="3" xfId="0" applyNumberFormat="1" applyFont="1" applyBorder="1" applyAlignment="1">
      <alignment horizontal="center" vertical="center" wrapText="1"/>
    </xf>
    <xf numFmtId="42" fontId="0" fillId="0" borderId="0" xfId="0" applyNumberFormat="1"/>
    <xf numFmtId="0" fontId="8" fillId="0" borderId="1" xfId="0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0" fontId="3" fillId="0" borderId="0" xfId="0" applyFont="1"/>
    <xf numFmtId="42" fontId="6" fillId="0" borderId="0" xfId="0" applyNumberFormat="1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5" xfId="0" quotePrefix="1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369336</xdr:colOff>
      <xdr:row>0</xdr:row>
      <xdr:rowOff>97194</xdr:rowOff>
    </xdr:from>
    <xdr:to>
      <xdr:col>3</xdr:col>
      <xdr:colOff>19439</xdr:colOff>
      <xdr:row>3</xdr:row>
      <xdr:rowOff>187054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9336" y="97194"/>
          <a:ext cx="764528" cy="8042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16</xdr:col>
      <xdr:colOff>77755</xdr:colOff>
      <xdr:row>4</xdr:row>
      <xdr:rowOff>9528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0" y="914400"/>
          <a:ext cx="7554880" cy="9528"/>
        </a:xfrm>
        <a:prstGeom prst="line">
          <a:avLst/>
        </a:prstGeom>
        <a:noFill/>
        <a:ln w="38100" cap="flat" cmpd="thickThin" algn="ctr">
          <a:solidFill>
            <a:sysClr val="windowText" lastClr="000000"/>
          </a:solidFill>
          <a:prstDash val="soli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I260"/>
  <sheetViews>
    <sheetView tabSelected="1" topLeftCell="A25" zoomScale="85" zoomScaleNormal="85" zoomScaleSheetLayoutView="97" workbookViewId="0">
      <selection activeCell="P32" sqref="P32"/>
    </sheetView>
  </sheetViews>
  <sheetFormatPr defaultRowHeight="15.75" x14ac:dyDescent="0.25"/>
  <cols>
    <col min="1" max="1" width="9.140625" style="32" customWidth="1"/>
    <col min="2" max="2" width="3.7109375" style="32" customWidth="1"/>
    <col min="3" max="3" width="3.85546875" style="32" customWidth="1"/>
    <col min="4" max="4" width="4" style="32" customWidth="1"/>
    <col min="5" max="5" width="3.28515625" style="32" customWidth="1"/>
    <col min="6" max="6" width="3.140625" style="32" customWidth="1"/>
    <col min="7" max="7" width="6.28515625" style="32" customWidth="1"/>
    <col min="8" max="8" width="3.140625" style="32" customWidth="1"/>
    <col min="9" max="9" width="2.7109375" style="32" customWidth="1"/>
    <col min="10" max="10" width="3.28515625" style="32" customWidth="1"/>
    <col min="11" max="11" width="3.140625" style="32" customWidth="1"/>
    <col min="12" max="12" width="4.85546875" style="32" customWidth="1"/>
    <col min="13" max="13" width="7.5703125" style="32" customWidth="1"/>
    <col min="14" max="14" width="33" style="32" customWidth="1"/>
    <col min="15" max="15" width="3.85546875" style="32" customWidth="1"/>
    <col min="16" max="16" width="24.28515625" style="32" customWidth="1"/>
    <col min="17" max="17" width="17.5703125" style="32" hidden="1" customWidth="1"/>
    <col min="18" max="18" width="11.7109375" style="55" bestFit="1" customWidth="1"/>
    <col min="19" max="19" width="7.5703125" style="55" customWidth="1"/>
    <col min="20" max="20" width="25.140625" style="55" customWidth="1"/>
    <col min="21" max="21" width="13.42578125" style="55" customWidth="1"/>
    <col min="22" max="22" width="10.140625" style="55" bestFit="1" customWidth="1"/>
    <col min="23" max="23" width="10.5703125" style="55" bestFit="1" customWidth="1"/>
    <col min="24" max="24" width="5.28515625" style="55" customWidth="1"/>
    <col min="25" max="25" width="4.140625" style="55" customWidth="1"/>
    <col min="26" max="26" width="19.140625" style="55" customWidth="1"/>
    <col min="27" max="27" width="12.5703125" style="55" bestFit="1" customWidth="1"/>
    <col min="28" max="29" width="10.28515625" style="55" bestFit="1" customWidth="1"/>
    <col min="30" max="30" width="10" style="55" bestFit="1" customWidth="1"/>
    <col min="31" max="35" width="9.140625" style="55"/>
    <col min="36" max="16384" width="9.140625" style="32"/>
  </cols>
  <sheetData>
    <row r="1" spans="1:30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5">
        <v>1</v>
      </c>
      <c r="R1" s="58"/>
    </row>
    <row r="2" spans="1:30" x14ac:dyDescent="0.25">
      <c r="A2" s="86" t="s">
        <v>22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1"/>
      <c r="R2" s="59"/>
    </row>
    <row r="3" spans="1:30" x14ac:dyDescent="0.25">
      <c r="A3" s="87" t="s">
        <v>23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5"/>
      <c r="R3" s="58"/>
    </row>
    <row r="4" spans="1:30" x14ac:dyDescent="0.25">
      <c r="A4" s="87" t="s">
        <v>24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5"/>
      <c r="R4" s="58"/>
    </row>
    <row r="5" spans="1:30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92" t="s">
        <v>62</v>
      </c>
      <c r="P5" s="92"/>
      <c r="Q5" s="5"/>
      <c r="R5" s="58"/>
      <c r="S5" s="59"/>
    </row>
    <row r="6" spans="1:30" x14ac:dyDescent="0.25">
      <c r="A6" s="1"/>
      <c r="B6" s="1"/>
      <c r="C6" s="1"/>
      <c r="D6" s="1"/>
      <c r="E6" s="1"/>
      <c r="F6" s="1"/>
      <c r="G6" s="1"/>
      <c r="H6" s="1"/>
      <c r="I6" s="9"/>
      <c r="J6" s="1"/>
      <c r="K6" s="1"/>
      <c r="L6" s="1"/>
      <c r="M6" s="1"/>
      <c r="N6" s="1"/>
      <c r="O6" s="1"/>
      <c r="P6" s="1" t="s">
        <v>16</v>
      </c>
    </row>
    <row r="7" spans="1:30" ht="15.75" customHeight="1" x14ac:dyDescent="0.25">
      <c r="A7" s="27" t="s">
        <v>1</v>
      </c>
      <c r="B7" s="27" t="s">
        <v>33</v>
      </c>
      <c r="C7" s="85" t="s">
        <v>63</v>
      </c>
      <c r="D7" s="85"/>
      <c r="E7" s="85"/>
      <c r="F7" s="85"/>
      <c r="G7" s="85"/>
      <c r="H7" s="85"/>
      <c r="I7" s="85"/>
      <c r="J7" s="85"/>
      <c r="K7" s="85"/>
      <c r="L7" s="85"/>
      <c r="M7" s="27"/>
      <c r="N7" s="6" t="s">
        <v>17</v>
      </c>
      <c r="O7" s="6"/>
      <c r="P7" s="6"/>
    </row>
    <row r="8" spans="1:30" ht="18.75" customHeight="1" x14ac:dyDescent="0.25">
      <c r="A8" s="27" t="s">
        <v>2</v>
      </c>
      <c r="B8" s="27" t="s">
        <v>3</v>
      </c>
      <c r="C8" s="27" t="s">
        <v>35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1" t="s">
        <v>30</v>
      </c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</row>
    <row r="9" spans="1:30" ht="18.75" customHeight="1" x14ac:dyDescent="0.25">
      <c r="A9" s="27" t="s">
        <v>4</v>
      </c>
      <c r="B9" s="85" t="s">
        <v>34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27"/>
      <c r="O9" s="1" t="s">
        <v>29</v>
      </c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 spans="1:30" ht="15" customHeight="1" x14ac:dyDescent="0.25">
      <c r="N10" s="6" t="s">
        <v>18</v>
      </c>
      <c r="O10" s="6"/>
      <c r="P10" s="6"/>
    </row>
    <row r="11" spans="1:30" ht="15.75" customHeight="1" x14ac:dyDescent="0.25">
      <c r="A11" s="1"/>
      <c r="B11" s="1"/>
      <c r="C11" s="1"/>
      <c r="D11" s="1"/>
      <c r="E11" s="1"/>
      <c r="F11" s="1"/>
      <c r="G11" s="1"/>
      <c r="H11" s="1"/>
      <c r="I11" s="27"/>
      <c r="J11" s="27"/>
      <c r="K11" s="27"/>
      <c r="L11" s="27"/>
      <c r="M11" s="27"/>
      <c r="N11" s="2"/>
      <c r="O11" s="85" t="s">
        <v>19</v>
      </c>
      <c r="P11" s="85"/>
    </row>
    <row r="12" spans="1:30" x14ac:dyDescent="0.25">
      <c r="A12" s="1"/>
      <c r="B12" s="1"/>
      <c r="C12" s="1"/>
      <c r="D12" s="1"/>
      <c r="E12" s="1"/>
      <c r="F12" s="1"/>
      <c r="G12" s="1"/>
      <c r="H12" s="1"/>
      <c r="I12" s="3"/>
      <c r="J12" s="1"/>
      <c r="K12" s="1"/>
      <c r="L12" s="1"/>
      <c r="M12" s="1"/>
      <c r="N12" s="1"/>
      <c r="O12" s="1"/>
      <c r="P12" s="1"/>
    </row>
    <row r="13" spans="1:30" ht="15.75" customHeight="1" x14ac:dyDescent="0.25">
      <c r="A13" s="1" t="s">
        <v>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30" ht="16.5" customHeight="1" x14ac:dyDescent="0.25">
      <c r="A14" s="88" t="s">
        <v>11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4"/>
      <c r="J15" s="1"/>
      <c r="K15" s="1"/>
      <c r="L15" s="1"/>
      <c r="M15" s="1"/>
      <c r="N15" s="1"/>
      <c r="O15" s="1"/>
      <c r="P15" s="1"/>
    </row>
    <row r="16" spans="1:30" x14ac:dyDescent="0.25">
      <c r="A16" s="42" t="s">
        <v>8</v>
      </c>
      <c r="C16" s="42" t="s">
        <v>3</v>
      </c>
      <c r="E16" s="92" t="s">
        <v>37</v>
      </c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</row>
    <row r="17" spans="1:35" ht="15.75" customHeight="1" x14ac:dyDescent="0.25">
      <c r="A17" s="1" t="s">
        <v>6</v>
      </c>
      <c r="C17" s="42" t="s">
        <v>3</v>
      </c>
      <c r="E17" s="92" t="s">
        <v>38</v>
      </c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</row>
    <row r="18" spans="1:35" ht="15.75" customHeight="1" x14ac:dyDescent="0.25">
      <c r="A18" s="1" t="s">
        <v>7</v>
      </c>
      <c r="C18" s="42" t="s">
        <v>3</v>
      </c>
      <c r="E18" s="92" t="s">
        <v>27</v>
      </c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</row>
    <row r="19" spans="1:35" ht="15.75" customHeight="1" x14ac:dyDescent="0.25">
      <c r="A19" s="42" t="s">
        <v>31</v>
      </c>
      <c r="C19" s="1" t="s">
        <v>3</v>
      </c>
      <c r="E19" s="92" t="s">
        <v>54</v>
      </c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</row>
    <row r="20" spans="1:35" ht="15.75" customHeight="1" x14ac:dyDescent="0.25">
      <c r="A20" s="42" t="s">
        <v>21</v>
      </c>
      <c r="C20" s="1" t="s">
        <v>3</v>
      </c>
      <c r="D20" s="1"/>
      <c r="E20" s="92" t="s">
        <v>65</v>
      </c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</row>
    <row r="21" spans="1:35" ht="20.25" customHeight="1" x14ac:dyDescent="0.25">
      <c r="A21" s="23" t="s">
        <v>32</v>
      </c>
      <c r="B21" s="16"/>
      <c r="C21" s="16" t="s">
        <v>3</v>
      </c>
      <c r="D21" s="16"/>
      <c r="E21" s="85" t="s">
        <v>60</v>
      </c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1:35" ht="15.75" customHeight="1" x14ac:dyDescent="0.25">
      <c r="A22" s="92" t="s">
        <v>44</v>
      </c>
      <c r="B22" s="92"/>
      <c r="C22" s="16" t="s">
        <v>3</v>
      </c>
      <c r="D22" s="1"/>
      <c r="E22" s="92" t="s">
        <v>61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</row>
    <row r="23" spans="1:35" ht="15.75" customHeight="1" x14ac:dyDescent="0.25">
      <c r="A23" s="92" t="s">
        <v>45</v>
      </c>
      <c r="B23" s="92"/>
      <c r="C23" s="16" t="s">
        <v>3</v>
      </c>
      <c r="D23" s="1"/>
      <c r="E23" s="93" t="s">
        <v>46</v>
      </c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</row>
    <row r="24" spans="1:3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35" ht="39.75" customHeight="1" x14ac:dyDescent="0.25">
      <c r="A25" s="85" t="s">
        <v>81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1:35" ht="21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T26" s="32"/>
      <c r="U26" s="32"/>
      <c r="V26" s="32"/>
      <c r="W26" s="32"/>
    </row>
    <row r="27" spans="1:35" ht="45" customHeight="1" x14ac:dyDescent="0.25">
      <c r="A27" s="15" t="s">
        <v>9</v>
      </c>
      <c r="B27" s="94" t="s">
        <v>13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47" t="s">
        <v>12</v>
      </c>
      <c r="O27" s="94" t="s">
        <v>10</v>
      </c>
      <c r="P27" s="96"/>
      <c r="AF27" s="32"/>
      <c r="AG27" s="32"/>
      <c r="AH27" s="32"/>
      <c r="AI27" s="32"/>
    </row>
    <row r="28" spans="1:35" x14ac:dyDescent="0.25">
      <c r="A28" s="8">
        <v>1</v>
      </c>
      <c r="B28" s="97">
        <v>2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48">
        <v>3</v>
      </c>
      <c r="O28" s="97">
        <v>4</v>
      </c>
      <c r="P28" s="99"/>
      <c r="AF28" s="32"/>
      <c r="AG28" s="32"/>
      <c r="AH28" s="32"/>
      <c r="AI28" s="32"/>
    </row>
    <row r="29" spans="1:35" ht="16.5" customHeight="1" x14ac:dyDescent="0.25">
      <c r="A29" s="13"/>
      <c r="B29" s="14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12"/>
      <c r="N29" s="28"/>
      <c r="O29" s="29"/>
      <c r="P29" s="56"/>
      <c r="AF29" s="32"/>
      <c r="AG29" s="32"/>
      <c r="AH29" s="32"/>
      <c r="AI29" s="32"/>
    </row>
    <row r="30" spans="1:35" ht="31.5" customHeight="1" x14ac:dyDescent="0.25">
      <c r="A30" s="17">
        <v>1</v>
      </c>
      <c r="B30" s="63">
        <v>2</v>
      </c>
      <c r="C30" s="23">
        <v>23</v>
      </c>
      <c r="D30" s="64" t="s">
        <v>28</v>
      </c>
      <c r="E30" s="23">
        <v>2</v>
      </c>
      <c r="F30" s="64" t="s">
        <v>20</v>
      </c>
      <c r="G30" s="64" t="s">
        <v>55</v>
      </c>
      <c r="H30" s="23">
        <v>5</v>
      </c>
      <c r="I30" s="23">
        <v>1</v>
      </c>
      <c r="J30" s="64" t="s">
        <v>28</v>
      </c>
      <c r="K30" s="64" t="s">
        <v>20</v>
      </c>
      <c r="L30" s="64" t="s">
        <v>42</v>
      </c>
      <c r="M30" s="81" t="s">
        <v>57</v>
      </c>
      <c r="N30" s="30" t="s">
        <v>58</v>
      </c>
      <c r="O30" s="46"/>
      <c r="P30" s="35">
        <f>Pinbuk!D8</f>
        <v>400000</v>
      </c>
      <c r="AF30" s="32"/>
      <c r="AG30" s="32"/>
      <c r="AH30" s="32"/>
      <c r="AI30" s="32"/>
    </row>
    <row r="31" spans="1:35" ht="16.5" customHeight="1" x14ac:dyDescent="0.25">
      <c r="A31" s="13"/>
      <c r="B31" s="14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12"/>
      <c r="N31" s="12"/>
      <c r="O31" s="46"/>
      <c r="P31" s="65"/>
      <c r="AF31" s="32"/>
      <c r="AG31" s="32"/>
      <c r="AH31" s="32"/>
      <c r="AI31" s="32"/>
    </row>
    <row r="32" spans="1:35" ht="31.5" x14ac:dyDescent="0.25">
      <c r="A32" s="17">
        <v>2</v>
      </c>
      <c r="B32" s="63">
        <v>2</v>
      </c>
      <c r="C32" s="23">
        <v>23</v>
      </c>
      <c r="D32" s="64" t="s">
        <v>28</v>
      </c>
      <c r="E32" s="23">
        <v>2</v>
      </c>
      <c r="F32" s="64" t="s">
        <v>20</v>
      </c>
      <c r="G32" s="64" t="s">
        <v>55</v>
      </c>
      <c r="H32" s="19">
        <v>5</v>
      </c>
      <c r="I32" s="20">
        <v>1</v>
      </c>
      <c r="J32" s="20" t="s">
        <v>28</v>
      </c>
      <c r="K32" s="20" t="s">
        <v>36</v>
      </c>
      <c r="L32" s="20" t="s">
        <v>42</v>
      </c>
      <c r="M32" s="21" t="s">
        <v>43</v>
      </c>
      <c r="N32" s="30" t="s">
        <v>59</v>
      </c>
      <c r="O32" s="46"/>
      <c r="P32" s="35">
        <f>Pinbuk!L28</f>
        <v>4106666</v>
      </c>
      <c r="AF32" s="32"/>
      <c r="AG32" s="32"/>
      <c r="AH32" s="32"/>
      <c r="AI32" s="32"/>
    </row>
    <row r="33" spans="1:35" x14ac:dyDescent="0.25">
      <c r="A33" s="17"/>
      <c r="B33" s="63"/>
      <c r="C33" s="23"/>
      <c r="D33" s="64"/>
      <c r="E33" s="23"/>
      <c r="F33" s="64"/>
      <c r="G33" s="64"/>
      <c r="H33" s="19"/>
      <c r="I33" s="20"/>
      <c r="J33" s="20"/>
      <c r="K33" s="20"/>
      <c r="L33" s="20"/>
      <c r="M33" s="21"/>
      <c r="N33" s="36"/>
      <c r="O33" s="23"/>
      <c r="P33" s="57"/>
      <c r="R33" s="61"/>
      <c r="W33" s="62"/>
      <c r="AF33" s="32"/>
      <c r="AG33" s="32"/>
      <c r="AH33" s="32"/>
      <c r="AI33" s="32"/>
    </row>
    <row r="34" spans="1:35" ht="21.75" customHeight="1" x14ac:dyDescent="0.25">
      <c r="A34" s="49"/>
      <c r="B34" s="50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2"/>
      <c r="N34" s="43" t="s">
        <v>10</v>
      </c>
      <c r="O34" s="50"/>
      <c r="P34" s="53">
        <f>P30+P32</f>
        <v>4506666</v>
      </c>
      <c r="R34" s="61"/>
      <c r="AF34" s="32"/>
      <c r="AG34" s="32"/>
      <c r="AH34" s="32"/>
      <c r="AI34" s="32"/>
    </row>
    <row r="35" spans="1:35" x14ac:dyDescent="0.25">
      <c r="A35" s="37"/>
      <c r="B35" s="37"/>
      <c r="C35" s="37"/>
      <c r="D35" s="38"/>
      <c r="E35" s="38"/>
      <c r="F35" s="38"/>
      <c r="G35" s="38"/>
      <c r="H35" s="37"/>
      <c r="I35" s="37"/>
      <c r="J35" s="38"/>
      <c r="K35" s="38"/>
      <c r="L35" s="38"/>
      <c r="M35" s="38"/>
      <c r="N35" s="39"/>
      <c r="O35" s="40"/>
      <c r="P35" s="41"/>
      <c r="R35" s="61"/>
      <c r="T35" s="32"/>
      <c r="U35" s="32"/>
      <c r="V35" s="32"/>
      <c r="W35" s="32"/>
    </row>
    <row r="36" spans="1:35" x14ac:dyDescent="0.25">
      <c r="A36" s="1"/>
      <c r="B36" s="1"/>
      <c r="C36" s="1"/>
      <c r="D36" s="1"/>
      <c r="E36" s="1"/>
      <c r="F36" s="1"/>
      <c r="G36" s="1"/>
      <c r="H36" s="1"/>
      <c r="I36" s="46"/>
      <c r="J36" s="1"/>
      <c r="K36" s="1"/>
      <c r="L36" s="1"/>
      <c r="M36" s="1"/>
      <c r="N36" s="90" t="s">
        <v>25</v>
      </c>
      <c r="O36" s="90"/>
      <c r="P36" s="90"/>
      <c r="R36" s="61"/>
      <c r="T36" s="32"/>
      <c r="U36" s="32"/>
      <c r="V36" s="32"/>
      <c r="W36" s="32"/>
    </row>
    <row r="37" spans="1:3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90" t="s">
        <v>26</v>
      </c>
      <c r="O37" s="90"/>
      <c r="P37" s="90"/>
    </row>
    <row r="38" spans="1:3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6"/>
      <c r="O38" s="46"/>
      <c r="P38" s="46"/>
    </row>
    <row r="39" spans="1:3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O39" s="46"/>
      <c r="P39" s="46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 spans="1:3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O40" s="1"/>
      <c r="P40" s="46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spans="1:3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46"/>
      <c r="Z41" s="32"/>
      <c r="AA41" s="32"/>
      <c r="AB41" s="32"/>
      <c r="AC41" s="32"/>
      <c r="AD41" s="32"/>
      <c r="AE41" s="32"/>
      <c r="AF41" s="32"/>
      <c r="AG41" s="32"/>
      <c r="AH41" s="32"/>
      <c r="AI41" s="32"/>
    </row>
    <row r="42" spans="1:3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00" t="s">
        <v>37</v>
      </c>
      <c r="O42" s="100"/>
      <c r="P42" s="100"/>
      <c r="Z42" s="32"/>
      <c r="AA42" s="32"/>
      <c r="AB42" s="32"/>
      <c r="AC42" s="32"/>
      <c r="AD42" s="32"/>
      <c r="AE42" s="32"/>
      <c r="AF42" s="32"/>
      <c r="AG42" s="32"/>
      <c r="AH42" s="32"/>
      <c r="AI42" s="32"/>
    </row>
    <row r="43" spans="1:3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90" t="s">
        <v>39</v>
      </c>
      <c r="O43" s="90"/>
      <c r="P43" s="90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 spans="1:3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Z44" s="32"/>
      <c r="AA44" s="32"/>
      <c r="AB44" s="32"/>
      <c r="AC44" s="32"/>
      <c r="AD44" s="32"/>
      <c r="AE44" s="32"/>
      <c r="AF44" s="32"/>
      <c r="AG44" s="32"/>
      <c r="AH44" s="32"/>
      <c r="AI44" s="32"/>
    </row>
    <row r="45" spans="1:3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6"/>
      <c r="O45" s="46"/>
      <c r="P45" s="46"/>
      <c r="Z45" s="32"/>
      <c r="AA45" s="32"/>
      <c r="AB45" s="32"/>
      <c r="AC45" s="32"/>
      <c r="AD45" s="32"/>
      <c r="AE45" s="32"/>
      <c r="AF45" s="32"/>
      <c r="AG45" s="32"/>
      <c r="AH45" s="32"/>
      <c r="AI45" s="32"/>
    </row>
    <row r="46" spans="1:35" ht="27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5" t="s">
        <v>15</v>
      </c>
      <c r="O46" s="54"/>
      <c r="P46" s="15" t="s">
        <v>14</v>
      </c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 spans="1:35" ht="51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7"/>
      <c r="P47" s="7"/>
      <c r="Z47" s="32"/>
      <c r="AA47" s="32"/>
      <c r="AB47" s="32"/>
      <c r="AC47" s="32"/>
      <c r="AD47" s="32"/>
      <c r="AE47" s="32"/>
      <c r="AF47" s="32"/>
      <c r="AG47" s="32"/>
      <c r="AH47" s="32"/>
      <c r="AI47" s="32"/>
    </row>
    <row r="48" spans="1:35" ht="24" customHeight="1" x14ac:dyDescent="0.25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Z48" s="32"/>
      <c r="AA48" s="32"/>
      <c r="AB48" s="32"/>
      <c r="AC48" s="32"/>
      <c r="AD48" s="32"/>
      <c r="AE48" s="32"/>
      <c r="AF48" s="32"/>
      <c r="AG48" s="32"/>
      <c r="AH48" s="32"/>
      <c r="AI48" s="32"/>
    </row>
    <row r="49" spans="1:35" ht="24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 spans="1:35" ht="17.25" customHeight="1" x14ac:dyDescent="0.25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Z50" s="32"/>
      <c r="AA50" s="32"/>
      <c r="AB50" s="32"/>
      <c r="AC50" s="32"/>
      <c r="AD50" s="32"/>
      <c r="AE50" s="32"/>
      <c r="AF50" s="32"/>
      <c r="AG50" s="32"/>
      <c r="AH50" s="32"/>
      <c r="AI50" s="32"/>
    </row>
    <row r="51" spans="1:35" ht="21" customHeight="1" x14ac:dyDescent="0.25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Z51" s="32"/>
      <c r="AA51" s="32"/>
      <c r="AB51" s="32"/>
      <c r="AC51" s="32"/>
      <c r="AD51" s="32"/>
      <c r="AE51" s="32"/>
      <c r="AF51" s="32"/>
      <c r="AG51" s="32"/>
      <c r="AH51" s="32"/>
      <c r="AI51" s="32"/>
    </row>
    <row r="52" spans="1:35" x14ac:dyDescent="0.25">
      <c r="A52" s="1"/>
      <c r="C52" s="42"/>
      <c r="E52" s="1"/>
      <c r="F52" s="1"/>
      <c r="G52" s="1"/>
      <c r="H52" s="1"/>
      <c r="I52" s="1"/>
      <c r="J52" s="1"/>
      <c r="K52" s="1"/>
      <c r="L52" s="1"/>
      <c r="M52" s="1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 spans="1:35" x14ac:dyDescent="0.25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Z53" s="32"/>
      <c r="AA53" s="32"/>
      <c r="AB53" s="32"/>
      <c r="AC53" s="32"/>
      <c r="AD53" s="32"/>
      <c r="AE53" s="32"/>
      <c r="AF53" s="32"/>
      <c r="AG53" s="32"/>
      <c r="AH53" s="32"/>
      <c r="AI53" s="32"/>
    </row>
    <row r="54" spans="1:35" x14ac:dyDescent="0.25">
      <c r="A54" s="1"/>
      <c r="B54" s="1"/>
      <c r="C54" s="1"/>
      <c r="D54" s="1"/>
      <c r="E54" s="1"/>
      <c r="F54" s="1"/>
      <c r="G54" s="1"/>
      <c r="H54" s="1"/>
      <c r="I54" s="4"/>
      <c r="J54" s="1"/>
      <c r="K54" s="1"/>
      <c r="L54" s="1"/>
      <c r="M54" s="1"/>
      <c r="N54" s="1"/>
      <c r="O54" s="1"/>
      <c r="P54" s="1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spans="1:35" x14ac:dyDescent="0.25">
      <c r="A55" s="42"/>
      <c r="B55" s="42"/>
      <c r="C55" s="42"/>
      <c r="D55" s="42"/>
      <c r="E55" s="4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spans="1:35" x14ac:dyDescent="0.25">
      <c r="A56" s="42"/>
      <c r="B56" s="42"/>
      <c r="C56" s="42"/>
      <c r="D56" s="42"/>
      <c r="E56" s="4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Z56" s="32"/>
      <c r="AA56" s="32"/>
      <c r="AB56" s="32"/>
      <c r="AC56" s="32"/>
      <c r="AD56" s="32"/>
      <c r="AE56" s="32"/>
      <c r="AF56" s="32"/>
      <c r="AG56" s="32"/>
      <c r="AH56" s="32"/>
      <c r="AI56" s="32"/>
    </row>
    <row r="57" spans="1:35" x14ac:dyDescent="0.25">
      <c r="A57" s="1"/>
      <c r="B57" s="42"/>
      <c r="C57" s="42"/>
      <c r="D57" s="42"/>
      <c r="E57" s="4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Z57" s="32"/>
      <c r="AA57" s="32"/>
      <c r="AB57" s="32"/>
      <c r="AC57" s="32"/>
      <c r="AD57" s="32"/>
      <c r="AE57" s="32"/>
      <c r="AF57" s="32"/>
      <c r="AG57" s="32"/>
      <c r="AH57" s="32"/>
      <c r="AI57" s="32"/>
    </row>
    <row r="58" spans="1:35" x14ac:dyDescent="0.25">
      <c r="A58" s="1"/>
      <c r="B58" s="42"/>
      <c r="C58" s="42"/>
      <c r="D58" s="42"/>
      <c r="E58" s="4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Z58" s="32"/>
      <c r="AA58" s="32"/>
      <c r="AB58" s="32"/>
      <c r="AC58" s="32"/>
      <c r="AD58" s="32"/>
      <c r="AE58" s="32"/>
      <c r="AF58" s="32"/>
      <c r="AG58" s="32"/>
      <c r="AH58" s="32"/>
      <c r="AI58" s="32"/>
    </row>
    <row r="59" spans="1:35" x14ac:dyDescent="0.25">
      <c r="A59" s="4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Z59" s="32"/>
      <c r="AA59" s="32"/>
      <c r="AB59" s="32"/>
      <c r="AC59" s="32"/>
      <c r="AD59" s="32"/>
      <c r="AE59" s="32"/>
      <c r="AF59" s="32"/>
      <c r="AG59" s="32"/>
      <c r="AH59" s="32"/>
      <c r="AI59" s="32"/>
    </row>
    <row r="60" spans="1:3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Z60" s="32"/>
      <c r="AA60" s="32"/>
      <c r="AB60" s="32"/>
      <c r="AC60" s="32"/>
      <c r="AD60" s="32"/>
      <c r="AE60" s="32"/>
      <c r="AF60" s="32"/>
      <c r="AG60" s="32"/>
      <c r="AH60" s="32"/>
      <c r="AI60" s="32"/>
    </row>
    <row r="61" spans="1:35" x14ac:dyDescent="0.2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 spans="1:35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Z62" s="32"/>
      <c r="AA62" s="32"/>
      <c r="AB62" s="32"/>
      <c r="AC62" s="32"/>
      <c r="AD62" s="32"/>
      <c r="AE62" s="32"/>
      <c r="AF62" s="32"/>
      <c r="AG62" s="32"/>
      <c r="AH62" s="32"/>
      <c r="AI62" s="32"/>
    </row>
    <row r="63" spans="1:35" x14ac:dyDescent="0.25">
      <c r="A63" s="22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45"/>
      <c r="O63" s="89"/>
      <c r="P63" s="89"/>
      <c r="Z63" s="32"/>
      <c r="AA63" s="32"/>
      <c r="AB63" s="32"/>
      <c r="AC63" s="32"/>
      <c r="AD63" s="32"/>
      <c r="AE63" s="32"/>
      <c r="AF63" s="32"/>
      <c r="AG63" s="32"/>
      <c r="AH63" s="32"/>
      <c r="AI63" s="32"/>
    </row>
    <row r="64" spans="1:35" x14ac:dyDescent="0.25">
      <c r="A64" s="46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46"/>
      <c r="O64" s="90"/>
      <c r="P64" s="90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 spans="1:35" x14ac:dyDescent="0.25">
      <c r="A65" s="19"/>
      <c r="B65" s="23"/>
      <c r="C65" s="23"/>
      <c r="D65" s="23"/>
      <c r="E65" s="23"/>
      <c r="F65" s="18"/>
      <c r="G65" s="18"/>
      <c r="H65" s="18"/>
      <c r="I65" s="19"/>
      <c r="J65" s="19"/>
      <c r="K65" s="20"/>
      <c r="L65" s="20"/>
      <c r="M65" s="20"/>
      <c r="N65" s="44"/>
      <c r="O65" s="19"/>
      <c r="P65" s="24"/>
      <c r="Z65" s="32"/>
      <c r="AA65" s="32"/>
      <c r="AB65" s="32"/>
      <c r="AC65" s="32"/>
      <c r="AD65" s="32"/>
      <c r="AE65" s="32"/>
      <c r="AF65" s="32"/>
      <c r="AG65" s="32"/>
      <c r="AH65" s="32"/>
      <c r="AI65" s="32"/>
    </row>
    <row r="66" spans="1:35" x14ac:dyDescent="0.25">
      <c r="A66" s="19"/>
      <c r="B66" s="23"/>
      <c r="C66" s="23"/>
      <c r="D66" s="23"/>
      <c r="E66" s="23"/>
      <c r="F66" s="18"/>
      <c r="G66" s="18"/>
      <c r="H66" s="18"/>
      <c r="I66" s="19"/>
      <c r="J66" s="19"/>
      <c r="K66" s="19"/>
      <c r="L66" s="20"/>
      <c r="M66" s="20"/>
      <c r="N66" s="44"/>
      <c r="O66" s="19"/>
      <c r="P66" s="25"/>
      <c r="Z66" s="32"/>
      <c r="AA66" s="32"/>
      <c r="AB66" s="32"/>
      <c r="AC66" s="32"/>
      <c r="AD66" s="32"/>
      <c r="AE66" s="32"/>
      <c r="AF66" s="32"/>
      <c r="AG66" s="32"/>
      <c r="AH66" s="32"/>
      <c r="AI66" s="32"/>
    </row>
    <row r="67" spans="1:35" x14ac:dyDescent="0.25">
      <c r="A67" s="46"/>
      <c r="B67" s="1"/>
      <c r="C67" s="1"/>
      <c r="D67" s="1"/>
      <c r="E67" s="1"/>
      <c r="F67" s="10"/>
      <c r="G67" s="10"/>
      <c r="H67" s="10"/>
      <c r="I67" s="46"/>
      <c r="J67" s="46"/>
      <c r="K67" s="46"/>
      <c r="L67" s="11"/>
      <c r="M67" s="11"/>
      <c r="N67" s="42"/>
      <c r="O67" s="42"/>
      <c r="P67" s="26"/>
      <c r="Z67" s="32"/>
      <c r="AA67" s="32"/>
      <c r="AB67" s="32"/>
      <c r="AC67" s="32"/>
      <c r="AD67" s="32"/>
      <c r="AE67" s="32"/>
      <c r="AF67" s="32"/>
      <c r="AG67" s="32"/>
      <c r="AH67" s="32"/>
      <c r="AI67" s="32"/>
    </row>
    <row r="68" spans="1:35" x14ac:dyDescent="0.25">
      <c r="A68" s="46"/>
      <c r="B68" s="1"/>
      <c r="C68" s="1"/>
      <c r="D68" s="1"/>
      <c r="E68" s="1"/>
      <c r="F68" s="10"/>
      <c r="G68" s="10"/>
      <c r="H68" s="10"/>
      <c r="I68" s="46"/>
      <c r="J68" s="46"/>
      <c r="K68" s="46"/>
      <c r="L68" s="11"/>
      <c r="M68" s="11"/>
      <c r="N68" s="42"/>
      <c r="O68" s="42"/>
      <c r="P68" s="26"/>
      <c r="Z68" s="32"/>
      <c r="AA68" s="32"/>
      <c r="AB68" s="32"/>
      <c r="AC68" s="32"/>
      <c r="AD68" s="32"/>
      <c r="AE68" s="32"/>
      <c r="AF68" s="32"/>
      <c r="AG68" s="32"/>
      <c r="AH68" s="32"/>
      <c r="AI68" s="32"/>
    </row>
    <row r="69" spans="1:35" x14ac:dyDescent="0.25">
      <c r="A69" s="46"/>
      <c r="B69" s="1"/>
      <c r="C69" s="1"/>
      <c r="D69" s="1"/>
      <c r="E69" s="1"/>
      <c r="F69" s="1"/>
      <c r="G69" s="1"/>
      <c r="H69" s="1"/>
      <c r="I69" s="46"/>
      <c r="J69" s="46"/>
      <c r="K69" s="46"/>
      <c r="L69" s="46"/>
      <c r="M69" s="46"/>
      <c r="N69" s="42"/>
      <c r="O69" s="42"/>
      <c r="P69" s="26"/>
      <c r="Z69" s="32"/>
      <c r="AA69" s="32"/>
      <c r="AB69" s="32"/>
      <c r="AC69" s="32"/>
      <c r="AD69" s="32"/>
      <c r="AE69" s="32"/>
      <c r="AF69" s="32"/>
      <c r="AG69" s="32"/>
      <c r="AH69" s="32"/>
      <c r="AI69" s="32"/>
    </row>
    <row r="70" spans="1:35" x14ac:dyDescent="0.25">
      <c r="A70" s="46"/>
      <c r="B70" s="1"/>
      <c r="C70" s="1"/>
      <c r="D70" s="1"/>
      <c r="E70" s="1"/>
      <c r="F70" s="10"/>
      <c r="G70" s="10"/>
      <c r="H70" s="10"/>
      <c r="I70" s="46"/>
      <c r="J70" s="46"/>
      <c r="K70" s="46"/>
      <c r="L70" s="11"/>
      <c r="M70" s="11"/>
      <c r="N70" s="42"/>
      <c r="O70" s="42"/>
      <c r="P70" s="26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 spans="1:35" x14ac:dyDescent="0.25">
      <c r="A71" s="46"/>
      <c r="B71" s="1"/>
      <c r="C71" s="1"/>
      <c r="D71" s="1"/>
      <c r="E71" s="1"/>
      <c r="F71" s="10"/>
      <c r="G71" s="10"/>
      <c r="H71" s="10"/>
      <c r="I71" s="46"/>
      <c r="J71" s="46"/>
      <c r="K71" s="46"/>
      <c r="L71" s="11"/>
      <c r="M71" s="11"/>
      <c r="N71" s="42"/>
      <c r="O71" s="42"/>
      <c r="P71" s="26"/>
      <c r="Z71" s="32"/>
      <c r="AA71" s="32"/>
      <c r="AB71" s="32"/>
      <c r="AC71" s="32"/>
      <c r="AD71" s="32"/>
      <c r="AE71" s="32"/>
      <c r="AF71" s="32"/>
      <c r="AG71" s="32"/>
      <c r="AH71" s="32"/>
      <c r="AI71" s="32"/>
    </row>
    <row r="72" spans="1:35" x14ac:dyDescent="0.25">
      <c r="A72" s="1"/>
      <c r="B72" s="1"/>
      <c r="C72" s="1"/>
      <c r="D72" s="1"/>
      <c r="E72" s="1"/>
      <c r="F72" s="1"/>
      <c r="G72" s="1"/>
      <c r="H72" s="1"/>
      <c r="I72" s="46"/>
      <c r="J72" s="46"/>
      <c r="K72" s="46"/>
      <c r="L72" s="46"/>
      <c r="M72" s="46"/>
      <c r="N72" s="42"/>
      <c r="O72" s="42"/>
      <c r="P72" s="26"/>
      <c r="Z72" s="32"/>
      <c r="AA72" s="32"/>
      <c r="AB72" s="32"/>
      <c r="AC72" s="32"/>
      <c r="AD72" s="32"/>
      <c r="AE72" s="32"/>
      <c r="AF72" s="32"/>
      <c r="AG72" s="32"/>
      <c r="AH72" s="32"/>
      <c r="AI72" s="32"/>
    </row>
    <row r="73" spans="1:3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Z73" s="32"/>
      <c r="AA73" s="32"/>
      <c r="AB73" s="32"/>
      <c r="AC73" s="32"/>
      <c r="AD73" s="32"/>
      <c r="AE73" s="32"/>
      <c r="AF73" s="32"/>
      <c r="AG73" s="32"/>
      <c r="AH73" s="32"/>
      <c r="AI73" s="32"/>
    </row>
    <row r="74" spans="1:35" x14ac:dyDescent="0.25">
      <c r="A74" s="1"/>
      <c r="B74" s="1"/>
      <c r="C74" s="1"/>
      <c r="D74" s="1"/>
      <c r="E74" s="1"/>
      <c r="F74" s="1"/>
      <c r="G74" s="1"/>
      <c r="H74" s="1"/>
      <c r="I74" s="46"/>
      <c r="J74" s="1"/>
      <c r="K74" s="1"/>
      <c r="L74" s="1"/>
      <c r="M74" s="1"/>
      <c r="N74" s="1"/>
      <c r="O74" s="1"/>
      <c r="P74" s="1"/>
      <c r="Z74" s="32"/>
      <c r="AA74" s="32"/>
      <c r="AB74" s="32"/>
      <c r="AC74" s="32"/>
      <c r="AD74" s="32"/>
      <c r="AE74" s="32"/>
      <c r="AF74" s="32"/>
      <c r="AG74" s="32"/>
      <c r="AH74" s="32"/>
      <c r="AI74" s="32"/>
    </row>
    <row r="75" spans="1:35" x14ac:dyDescent="0.25">
      <c r="A75" s="1"/>
      <c r="B75" s="1"/>
      <c r="C75" s="1"/>
      <c r="D75" s="1"/>
      <c r="E75" s="1"/>
      <c r="F75" s="1"/>
      <c r="G75" s="1"/>
      <c r="H75" s="1"/>
      <c r="I75" s="46"/>
      <c r="J75" s="1"/>
      <c r="K75" s="1"/>
      <c r="L75" s="1"/>
      <c r="M75" s="1"/>
      <c r="N75" s="1"/>
      <c r="O75" s="1"/>
      <c r="P75" s="46"/>
      <c r="Z75" s="32"/>
      <c r="AA75" s="32"/>
      <c r="AB75" s="32"/>
      <c r="AC75" s="32"/>
      <c r="AD75" s="32"/>
      <c r="AE75" s="32"/>
      <c r="AF75" s="32"/>
      <c r="AG75" s="32"/>
      <c r="AH75" s="32"/>
      <c r="AI75" s="32"/>
    </row>
    <row r="76" spans="1:3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46"/>
      <c r="Z76" s="32"/>
      <c r="AA76" s="32"/>
      <c r="AB76" s="32"/>
      <c r="AC76" s="32"/>
      <c r="AD76" s="32"/>
      <c r="AE76" s="32"/>
      <c r="AF76" s="32"/>
      <c r="AG76" s="32"/>
      <c r="AH76" s="32"/>
      <c r="AI76" s="32"/>
    </row>
    <row r="77" spans="1:3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46"/>
      <c r="Z77" s="32"/>
      <c r="AA77" s="32"/>
      <c r="AB77" s="32"/>
      <c r="AC77" s="32"/>
      <c r="AD77" s="32"/>
      <c r="AE77" s="32"/>
      <c r="AF77" s="32"/>
      <c r="AG77" s="32"/>
      <c r="AH77" s="32"/>
      <c r="AI77" s="32"/>
    </row>
    <row r="78" spans="1:3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46"/>
      <c r="Z78" s="32"/>
      <c r="AA78" s="32"/>
      <c r="AB78" s="32"/>
      <c r="AC78" s="32"/>
      <c r="AD78" s="32"/>
      <c r="AE78" s="32"/>
      <c r="AF78" s="32"/>
      <c r="AG78" s="32"/>
      <c r="AH78" s="32"/>
      <c r="AI78" s="32"/>
    </row>
    <row r="79" spans="1:3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4"/>
      <c r="Z79" s="32"/>
      <c r="AA79" s="32"/>
      <c r="AB79" s="32"/>
      <c r="AC79" s="32"/>
      <c r="AD79" s="32"/>
      <c r="AE79" s="32"/>
      <c r="AF79" s="32"/>
      <c r="AG79" s="32"/>
      <c r="AH79" s="32"/>
      <c r="AI79" s="32"/>
    </row>
    <row r="80" spans="1:3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46"/>
      <c r="Z80" s="32"/>
      <c r="AA80" s="32"/>
      <c r="AB80" s="32"/>
      <c r="AC80" s="32"/>
      <c r="AD80" s="32"/>
      <c r="AE80" s="32"/>
      <c r="AF80" s="32"/>
      <c r="AG80" s="32"/>
      <c r="AH80" s="32"/>
      <c r="AI80" s="32"/>
    </row>
    <row r="81" spans="1:3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Z81" s="32"/>
      <c r="AA81" s="32"/>
      <c r="AB81" s="32"/>
      <c r="AC81" s="32"/>
      <c r="AD81" s="32"/>
      <c r="AE81" s="32"/>
      <c r="AF81" s="32"/>
      <c r="AG81" s="32"/>
      <c r="AH81" s="32"/>
      <c r="AI81" s="32"/>
    </row>
    <row r="82" spans="1:3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46"/>
      <c r="O82" s="46"/>
      <c r="P82" s="46"/>
      <c r="Z82" s="32"/>
      <c r="AA82" s="32"/>
      <c r="AB82" s="32"/>
      <c r="AC82" s="32"/>
      <c r="AD82" s="32"/>
      <c r="AE82" s="32"/>
      <c r="AF82" s="32"/>
      <c r="AG82" s="32"/>
      <c r="AH82" s="32"/>
      <c r="AI82" s="32"/>
    </row>
    <row r="83" spans="1:3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46"/>
      <c r="O83" s="46"/>
      <c r="P83" s="46"/>
      <c r="Z83" s="32"/>
      <c r="AA83" s="32"/>
      <c r="AB83" s="32"/>
      <c r="AC83" s="32"/>
      <c r="AD83" s="32"/>
      <c r="AE83" s="32"/>
      <c r="AF83" s="32"/>
      <c r="AG83" s="32"/>
      <c r="AH83" s="32"/>
      <c r="AI83" s="32"/>
    </row>
    <row r="84" spans="1:35" ht="50.1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Z84" s="32"/>
      <c r="AA84" s="32"/>
      <c r="AB84" s="32"/>
      <c r="AC84" s="32"/>
      <c r="AD84" s="32"/>
      <c r="AE84" s="32"/>
      <c r="AF84" s="32"/>
      <c r="AG84" s="32"/>
      <c r="AH84" s="32"/>
      <c r="AI84" s="32"/>
    </row>
    <row r="85" spans="1:35" x14ac:dyDescent="0.25">
      <c r="Z85" s="32"/>
      <c r="AA85" s="32"/>
      <c r="AB85" s="32"/>
      <c r="AC85" s="32"/>
      <c r="AD85" s="32"/>
      <c r="AE85" s="32"/>
      <c r="AF85" s="32"/>
      <c r="AG85" s="32"/>
      <c r="AH85" s="32"/>
      <c r="AI85" s="32"/>
    </row>
    <row r="86" spans="1:35" x14ac:dyDescent="0.25">
      <c r="Z86" s="32"/>
      <c r="AA86" s="32"/>
      <c r="AB86" s="32"/>
      <c r="AC86" s="32"/>
      <c r="AD86" s="32"/>
      <c r="AE86" s="32"/>
      <c r="AF86" s="32"/>
      <c r="AG86" s="32"/>
      <c r="AH86" s="32"/>
      <c r="AI86" s="32"/>
    </row>
    <row r="87" spans="1:35" x14ac:dyDescent="0.25">
      <c r="Z87" s="32"/>
      <c r="AA87" s="32"/>
      <c r="AB87" s="32"/>
      <c r="AC87" s="32"/>
      <c r="AD87" s="32"/>
      <c r="AE87" s="32"/>
      <c r="AF87" s="32"/>
      <c r="AG87" s="32"/>
      <c r="AH87" s="32"/>
      <c r="AI87" s="32"/>
    </row>
    <row r="88" spans="1:35" x14ac:dyDescent="0.25">
      <c r="Z88" s="32"/>
      <c r="AA88" s="32"/>
      <c r="AB88" s="32"/>
      <c r="AC88" s="32"/>
      <c r="AD88" s="32"/>
      <c r="AE88" s="32"/>
      <c r="AF88" s="32"/>
      <c r="AG88" s="32"/>
      <c r="AH88" s="32"/>
      <c r="AI88" s="32"/>
    </row>
    <row r="89" spans="1:35" x14ac:dyDescent="0.25">
      <c r="Z89" s="32"/>
      <c r="AA89" s="32"/>
      <c r="AB89" s="32"/>
      <c r="AC89" s="32"/>
      <c r="AD89" s="32"/>
      <c r="AE89" s="32"/>
      <c r="AF89" s="32"/>
      <c r="AG89" s="32"/>
      <c r="AH89" s="32"/>
      <c r="AI89" s="32"/>
    </row>
    <row r="90" spans="1:35" x14ac:dyDescent="0.25">
      <c r="Z90" s="32"/>
      <c r="AA90" s="32"/>
      <c r="AB90" s="32"/>
      <c r="AC90" s="32"/>
      <c r="AD90" s="32"/>
      <c r="AE90" s="32"/>
      <c r="AF90" s="32"/>
      <c r="AG90" s="32"/>
      <c r="AH90" s="32"/>
      <c r="AI90" s="32"/>
    </row>
    <row r="91" spans="1:35" x14ac:dyDescent="0.25">
      <c r="Z91" s="32"/>
      <c r="AA91" s="32"/>
      <c r="AB91" s="32"/>
      <c r="AC91" s="32"/>
      <c r="AD91" s="32"/>
      <c r="AE91" s="32"/>
      <c r="AF91" s="32"/>
      <c r="AG91" s="32"/>
      <c r="AH91" s="32"/>
      <c r="AI91" s="32"/>
    </row>
    <row r="92" spans="1:35" x14ac:dyDescent="0.25">
      <c r="Z92" s="32"/>
      <c r="AA92" s="32"/>
      <c r="AB92" s="32"/>
      <c r="AC92" s="32"/>
      <c r="AD92" s="32"/>
      <c r="AE92" s="32"/>
      <c r="AF92" s="32"/>
      <c r="AG92" s="32"/>
      <c r="AH92" s="32"/>
      <c r="AI92" s="32"/>
    </row>
    <row r="93" spans="1:35" x14ac:dyDescent="0.25">
      <c r="Z93" s="32"/>
      <c r="AA93" s="32"/>
      <c r="AB93" s="32"/>
      <c r="AC93" s="32"/>
      <c r="AD93" s="32"/>
      <c r="AE93" s="32"/>
      <c r="AF93" s="32"/>
      <c r="AG93" s="32"/>
      <c r="AH93" s="32"/>
      <c r="AI93" s="32"/>
    </row>
    <row r="94" spans="1:35" x14ac:dyDescent="0.25">
      <c r="Z94" s="32"/>
      <c r="AA94" s="32"/>
      <c r="AB94" s="32"/>
      <c r="AC94" s="32"/>
      <c r="AD94" s="32"/>
      <c r="AE94" s="32"/>
      <c r="AF94" s="32"/>
      <c r="AG94" s="32"/>
      <c r="AH94" s="32"/>
      <c r="AI94" s="32"/>
    </row>
    <row r="95" spans="1:35" x14ac:dyDescent="0.25">
      <c r="Z95" s="32"/>
      <c r="AA95" s="32"/>
      <c r="AB95" s="32"/>
      <c r="AC95" s="32"/>
      <c r="AD95" s="32"/>
      <c r="AE95" s="32"/>
      <c r="AF95" s="32"/>
      <c r="AG95" s="32"/>
      <c r="AH95" s="32"/>
      <c r="AI95" s="32"/>
    </row>
    <row r="96" spans="1:35" x14ac:dyDescent="0.25">
      <c r="Z96" s="32"/>
      <c r="AA96" s="32"/>
      <c r="AB96" s="32"/>
      <c r="AC96" s="32"/>
      <c r="AD96" s="32"/>
      <c r="AE96" s="32"/>
      <c r="AF96" s="32"/>
      <c r="AG96" s="32"/>
      <c r="AH96" s="32"/>
      <c r="AI96" s="32"/>
    </row>
    <row r="97" spans="1:35" x14ac:dyDescent="0.25">
      <c r="Z97" s="32"/>
      <c r="AA97" s="32"/>
      <c r="AB97" s="32"/>
      <c r="AC97" s="32"/>
      <c r="AD97" s="32"/>
      <c r="AE97" s="32"/>
      <c r="AF97" s="32"/>
      <c r="AG97" s="32"/>
      <c r="AH97" s="32"/>
      <c r="AI97" s="32"/>
    </row>
    <row r="98" spans="1:35" x14ac:dyDescent="0.25">
      <c r="Z98" s="32"/>
      <c r="AA98" s="32"/>
      <c r="AB98" s="32"/>
      <c r="AC98" s="32"/>
      <c r="AD98" s="32"/>
      <c r="AE98" s="32"/>
      <c r="AF98" s="32"/>
      <c r="AG98" s="32"/>
      <c r="AH98" s="32"/>
      <c r="AI98" s="32"/>
    </row>
    <row r="99" spans="1:35" x14ac:dyDescent="0.25">
      <c r="Z99" s="32"/>
      <c r="AA99" s="32"/>
      <c r="AB99" s="32"/>
      <c r="AC99" s="32"/>
      <c r="AD99" s="32"/>
      <c r="AE99" s="32"/>
      <c r="AF99" s="32"/>
      <c r="AG99" s="32"/>
      <c r="AH99" s="32"/>
      <c r="AI99" s="32"/>
    </row>
    <row r="100" spans="1:35" x14ac:dyDescent="0.2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</row>
    <row r="101" spans="1:35" x14ac:dyDescent="0.2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</row>
    <row r="102" spans="1:35" x14ac:dyDescent="0.25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</row>
    <row r="103" spans="1:35" x14ac:dyDescent="0.25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</row>
    <row r="104" spans="1:35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46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</row>
    <row r="105" spans="1:35" x14ac:dyDescent="0.25">
      <c r="A105" s="1"/>
      <c r="B105" s="1"/>
      <c r="C105" s="1"/>
      <c r="D105" s="1"/>
      <c r="E105" s="1"/>
      <c r="F105" s="1"/>
      <c r="G105" s="1"/>
      <c r="H105" s="1"/>
      <c r="I105" s="9"/>
      <c r="J105" s="1"/>
      <c r="K105" s="1"/>
      <c r="L105" s="1"/>
      <c r="M105" s="1"/>
      <c r="N105" s="1"/>
      <c r="O105" s="1"/>
      <c r="P105" s="1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</row>
    <row r="106" spans="1:35" x14ac:dyDescent="0.25">
      <c r="A106" s="27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6"/>
      <c r="O106" s="6"/>
      <c r="P106" s="6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</row>
    <row r="107" spans="1:35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1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</row>
    <row r="108" spans="1:35" x14ac:dyDescent="0.25">
      <c r="A108" s="27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27"/>
      <c r="O108" s="1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</row>
    <row r="109" spans="1:35" x14ac:dyDescent="0.25">
      <c r="N109" s="6"/>
      <c r="O109" s="6"/>
      <c r="P109" s="6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</row>
    <row r="110" spans="1:35" x14ac:dyDescent="0.25">
      <c r="A110" s="1"/>
      <c r="B110" s="1"/>
      <c r="C110" s="1"/>
      <c r="D110" s="1"/>
      <c r="E110" s="1"/>
      <c r="F110" s="1"/>
      <c r="G110" s="1"/>
      <c r="H110" s="1"/>
      <c r="I110" s="27"/>
      <c r="J110" s="27"/>
      <c r="K110" s="27"/>
      <c r="L110" s="27"/>
      <c r="M110" s="27"/>
      <c r="N110" s="2"/>
      <c r="O110" s="85"/>
      <c r="P110" s="85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</row>
    <row r="111" spans="1:35" x14ac:dyDescent="0.25">
      <c r="A111" s="1"/>
      <c r="B111" s="1"/>
      <c r="C111" s="1"/>
      <c r="D111" s="1"/>
      <c r="E111" s="1"/>
      <c r="F111" s="1"/>
      <c r="G111" s="1"/>
      <c r="H111" s="1"/>
      <c r="I111" s="3"/>
      <c r="J111" s="1"/>
      <c r="K111" s="1"/>
      <c r="L111" s="1"/>
      <c r="M111" s="1"/>
      <c r="N111" s="1"/>
      <c r="O111" s="1"/>
      <c r="P111" s="1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</row>
    <row r="112" spans="1:3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</row>
    <row r="113" spans="1:35" x14ac:dyDescent="0.2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</row>
    <row r="114" spans="1:35" x14ac:dyDescent="0.25">
      <c r="A114" s="1"/>
      <c r="B114" s="1"/>
      <c r="C114" s="1"/>
      <c r="D114" s="1"/>
      <c r="E114" s="1"/>
      <c r="F114" s="1"/>
      <c r="G114" s="1"/>
      <c r="H114" s="1"/>
      <c r="I114" s="4"/>
      <c r="J114" s="1"/>
      <c r="K114" s="1"/>
      <c r="L114" s="1"/>
      <c r="M114" s="1"/>
      <c r="N114" s="1"/>
      <c r="O114" s="1"/>
      <c r="P114" s="1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</row>
    <row r="115" spans="1:35" x14ac:dyDescent="0.25">
      <c r="A115" s="42"/>
      <c r="B115" s="42"/>
      <c r="C115" s="42"/>
      <c r="D115" s="42"/>
      <c r="E115" s="4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</row>
    <row r="116" spans="1:35" x14ac:dyDescent="0.25">
      <c r="A116" s="1"/>
      <c r="B116" s="42"/>
      <c r="C116" s="42"/>
      <c r="D116" s="42"/>
      <c r="E116" s="4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</row>
    <row r="117" spans="1:35" x14ac:dyDescent="0.25">
      <c r="A117" s="1"/>
      <c r="B117" s="42"/>
      <c r="C117" s="42"/>
      <c r="D117" s="42"/>
      <c r="E117" s="4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</row>
    <row r="118" spans="1:35" x14ac:dyDescent="0.25">
      <c r="A118" s="4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</row>
    <row r="119" spans="1:3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</row>
    <row r="120" spans="1:35" ht="39" customHeight="1" x14ac:dyDescent="0.2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</row>
    <row r="121" spans="1:35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</row>
    <row r="122" spans="1:35" x14ac:dyDescent="0.25">
      <c r="A122" s="22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45"/>
      <c r="O122" s="89"/>
      <c r="P122" s="89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</row>
    <row r="123" spans="1:35" x14ac:dyDescent="0.25">
      <c r="A123" s="46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46"/>
      <c r="O123" s="90"/>
      <c r="P123" s="90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</row>
    <row r="124" spans="1:35" x14ac:dyDescent="0.25">
      <c r="A124" s="19"/>
      <c r="B124" s="23"/>
      <c r="C124" s="23"/>
      <c r="D124" s="23"/>
      <c r="E124" s="23"/>
      <c r="F124" s="18"/>
      <c r="G124" s="18"/>
      <c r="H124" s="18"/>
      <c r="I124" s="19"/>
      <c r="J124" s="19"/>
      <c r="K124" s="20"/>
      <c r="L124" s="20"/>
      <c r="M124" s="20"/>
      <c r="N124" s="44"/>
      <c r="O124" s="19"/>
      <c r="P124" s="24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</row>
    <row r="125" spans="1:35" x14ac:dyDescent="0.25">
      <c r="A125" s="19"/>
      <c r="B125" s="23"/>
      <c r="C125" s="23"/>
      <c r="D125" s="23"/>
      <c r="E125" s="23"/>
      <c r="F125" s="18"/>
      <c r="G125" s="18"/>
      <c r="H125" s="18"/>
      <c r="I125" s="19"/>
      <c r="J125" s="19"/>
      <c r="K125" s="20"/>
      <c r="L125" s="20"/>
      <c r="M125" s="20"/>
      <c r="N125" s="44"/>
      <c r="O125" s="19"/>
      <c r="P125" s="24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</row>
    <row r="126" spans="1:35" x14ac:dyDescent="0.25">
      <c r="A126" s="19"/>
      <c r="B126" s="23"/>
      <c r="C126" s="23"/>
      <c r="D126" s="23"/>
      <c r="E126" s="23"/>
      <c r="F126" s="18"/>
      <c r="G126" s="18"/>
      <c r="H126" s="18"/>
      <c r="I126" s="19"/>
      <c r="J126" s="19"/>
      <c r="K126" s="20"/>
      <c r="L126" s="20"/>
      <c r="M126" s="20"/>
      <c r="N126" s="44"/>
      <c r="O126" s="19"/>
      <c r="P126" s="24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</row>
    <row r="127" spans="1:35" x14ac:dyDescent="0.25">
      <c r="A127" s="46"/>
      <c r="B127" s="1"/>
      <c r="C127" s="1"/>
      <c r="D127" s="1"/>
      <c r="E127" s="1"/>
      <c r="F127" s="10"/>
      <c r="G127" s="10"/>
      <c r="H127" s="10"/>
      <c r="I127" s="46"/>
      <c r="J127" s="46"/>
      <c r="K127" s="46"/>
      <c r="L127" s="11"/>
      <c r="M127" s="11"/>
      <c r="N127" s="42"/>
      <c r="O127" s="42"/>
      <c r="P127" s="26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</row>
    <row r="128" spans="1:35" x14ac:dyDescent="0.25">
      <c r="A128" s="46"/>
      <c r="B128" s="1"/>
      <c r="C128" s="1"/>
      <c r="D128" s="1"/>
      <c r="E128" s="1"/>
      <c r="F128" s="10"/>
      <c r="G128" s="10"/>
      <c r="H128" s="10"/>
      <c r="I128" s="46"/>
      <c r="J128" s="46"/>
      <c r="K128" s="46"/>
      <c r="L128" s="11"/>
      <c r="M128" s="11"/>
      <c r="N128" s="42"/>
      <c r="O128" s="42"/>
      <c r="P128" s="26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</row>
    <row r="129" spans="1:35" x14ac:dyDescent="0.25">
      <c r="A129" s="46"/>
      <c r="B129" s="1"/>
      <c r="C129" s="1"/>
      <c r="D129" s="1"/>
      <c r="E129" s="1"/>
      <c r="F129" s="1"/>
      <c r="G129" s="1"/>
      <c r="H129" s="1"/>
      <c r="I129" s="46"/>
      <c r="J129" s="46"/>
      <c r="K129" s="46"/>
      <c r="L129" s="46"/>
      <c r="M129" s="46"/>
      <c r="N129" s="42"/>
      <c r="O129" s="42"/>
      <c r="P129" s="26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</row>
    <row r="130" spans="1:35" x14ac:dyDescent="0.25">
      <c r="A130" s="46"/>
      <c r="B130" s="1"/>
      <c r="C130" s="1"/>
      <c r="D130" s="1"/>
      <c r="E130" s="1"/>
      <c r="F130" s="10"/>
      <c r="G130" s="10"/>
      <c r="H130" s="10"/>
      <c r="I130" s="46"/>
      <c r="J130" s="46"/>
      <c r="K130" s="46"/>
      <c r="L130" s="11"/>
      <c r="M130" s="11"/>
      <c r="N130" s="42"/>
      <c r="O130" s="42"/>
      <c r="P130" s="26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</row>
    <row r="131" spans="1:35" x14ac:dyDescent="0.25">
      <c r="A131" s="46"/>
      <c r="B131" s="1"/>
      <c r="C131" s="1"/>
      <c r="D131" s="1"/>
      <c r="E131" s="1"/>
      <c r="F131" s="10"/>
      <c r="G131" s="10"/>
      <c r="H131" s="10"/>
      <c r="I131" s="46"/>
      <c r="J131" s="46"/>
      <c r="K131" s="46"/>
      <c r="L131" s="11"/>
      <c r="M131" s="11"/>
      <c r="N131" s="42"/>
      <c r="O131" s="42"/>
      <c r="P131" s="26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</row>
    <row r="132" spans="1:35" x14ac:dyDescent="0.25">
      <c r="A132" s="1"/>
      <c r="B132" s="1"/>
      <c r="C132" s="1"/>
      <c r="D132" s="1"/>
      <c r="E132" s="1"/>
      <c r="F132" s="1"/>
      <c r="G132" s="1"/>
      <c r="H132" s="1"/>
      <c r="I132" s="46"/>
      <c r="J132" s="46"/>
      <c r="K132" s="46"/>
      <c r="L132" s="46"/>
      <c r="M132" s="46"/>
      <c r="N132" s="42"/>
      <c r="O132" s="42"/>
      <c r="P132" s="26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</row>
    <row r="133" spans="1:3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</row>
    <row r="134" spans="1:35" x14ac:dyDescent="0.25">
      <c r="A134" s="1"/>
      <c r="B134" s="1"/>
      <c r="C134" s="1"/>
      <c r="D134" s="1"/>
      <c r="E134" s="1"/>
      <c r="F134" s="1"/>
      <c r="G134" s="1"/>
      <c r="H134" s="1"/>
      <c r="I134" s="46"/>
      <c r="J134" s="1"/>
      <c r="K134" s="1"/>
      <c r="L134" s="1"/>
      <c r="M134" s="1"/>
      <c r="N134" s="1"/>
      <c r="O134" s="1"/>
      <c r="P134" s="1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</row>
    <row r="135" spans="1:35" x14ac:dyDescent="0.25">
      <c r="A135" s="1"/>
      <c r="B135" s="1"/>
      <c r="C135" s="1"/>
      <c r="D135" s="1"/>
      <c r="E135" s="1"/>
      <c r="F135" s="1"/>
      <c r="G135" s="1"/>
      <c r="H135" s="1"/>
      <c r="I135" s="46"/>
      <c r="J135" s="1"/>
      <c r="K135" s="1"/>
      <c r="L135" s="1"/>
      <c r="M135" s="1"/>
      <c r="N135" s="1"/>
      <c r="O135" s="1"/>
      <c r="P135" s="46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</row>
    <row r="136" spans="1:3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46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</row>
    <row r="137" spans="1:3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46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</row>
    <row r="138" spans="1:3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46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</row>
    <row r="139" spans="1:3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4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</row>
    <row r="140" spans="1:3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46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</row>
    <row r="141" spans="1:3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</row>
    <row r="142" spans="1:3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46"/>
      <c r="O142" s="46"/>
      <c r="P142" s="46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</row>
    <row r="143" spans="1:3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46"/>
      <c r="O143" s="46"/>
      <c r="P143" s="46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</row>
    <row r="144" spans="1:35" ht="50.1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</row>
    <row r="145" spans="1:35" x14ac:dyDescent="0.25"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</row>
    <row r="146" spans="1:35" x14ac:dyDescent="0.25"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</row>
    <row r="147" spans="1:35" x14ac:dyDescent="0.25"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</row>
    <row r="148" spans="1:35" x14ac:dyDescent="0.25"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</row>
    <row r="149" spans="1:35" x14ac:dyDescent="0.25"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</row>
    <row r="150" spans="1:35" x14ac:dyDescent="0.25"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</row>
    <row r="151" spans="1:35" x14ac:dyDescent="0.25"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</row>
    <row r="152" spans="1:35" x14ac:dyDescent="0.25"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</row>
    <row r="153" spans="1:35" x14ac:dyDescent="0.25"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</row>
    <row r="154" spans="1:35" x14ac:dyDescent="0.25"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</row>
    <row r="155" spans="1:35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</row>
    <row r="156" spans="1:35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</row>
    <row r="157" spans="1:35" x14ac:dyDescent="0.25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</row>
    <row r="158" spans="1:35" x14ac:dyDescent="0.25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</row>
    <row r="159" spans="1:35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46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</row>
    <row r="160" spans="1:35" x14ac:dyDescent="0.25">
      <c r="A160" s="1"/>
      <c r="B160" s="1"/>
      <c r="C160" s="1"/>
      <c r="D160" s="1"/>
      <c r="E160" s="1"/>
      <c r="F160" s="1"/>
      <c r="G160" s="1"/>
      <c r="H160" s="1"/>
      <c r="I160" s="9"/>
      <c r="J160" s="1"/>
      <c r="K160" s="1"/>
      <c r="L160" s="1"/>
      <c r="M160" s="1"/>
      <c r="N160" s="1"/>
      <c r="O160" s="1"/>
      <c r="P160" s="1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</row>
    <row r="161" spans="1:35" x14ac:dyDescent="0.25">
      <c r="A161" s="27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6"/>
      <c r="O161" s="6"/>
      <c r="P161" s="6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</row>
    <row r="162" spans="1:35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1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</row>
    <row r="163" spans="1:35" ht="15.75" customHeight="1" x14ac:dyDescent="0.25">
      <c r="A163" s="27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27"/>
      <c r="O163" s="1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</row>
    <row r="164" spans="1:35" x14ac:dyDescent="0.25">
      <c r="N164" s="6"/>
      <c r="O164" s="6"/>
      <c r="P164" s="6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</row>
    <row r="165" spans="1:3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7"/>
      <c r="J165" s="27"/>
      <c r="K165" s="27"/>
      <c r="L165" s="27"/>
      <c r="M165" s="27"/>
      <c r="N165" s="2"/>
      <c r="O165" s="85"/>
      <c r="P165" s="85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</row>
    <row r="166" spans="1:35" x14ac:dyDescent="0.25">
      <c r="A166" s="1"/>
      <c r="B166" s="1"/>
      <c r="C166" s="1"/>
      <c r="D166" s="1"/>
      <c r="E166" s="1"/>
      <c r="F166" s="1"/>
      <c r="G166" s="1"/>
      <c r="H166" s="1"/>
      <c r="I166" s="3"/>
      <c r="J166" s="1"/>
      <c r="K166" s="1"/>
      <c r="L166" s="1"/>
      <c r="M166" s="1"/>
      <c r="N166" s="1"/>
      <c r="O166" s="1"/>
      <c r="P166" s="1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</row>
    <row r="167" spans="1:3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</row>
    <row r="168" spans="1:35" ht="15.75" customHeight="1" x14ac:dyDescent="0.2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</row>
    <row r="169" spans="1:35" x14ac:dyDescent="0.25">
      <c r="A169" s="1"/>
      <c r="B169" s="1"/>
      <c r="C169" s="1"/>
      <c r="D169" s="1"/>
      <c r="E169" s="1"/>
      <c r="F169" s="1"/>
      <c r="G169" s="1"/>
      <c r="H169" s="1"/>
      <c r="I169" s="4"/>
      <c r="J169" s="1"/>
      <c r="K169" s="1"/>
      <c r="L169" s="1"/>
      <c r="M169" s="1"/>
      <c r="N169" s="1"/>
      <c r="O169" s="1"/>
      <c r="P169" s="1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</row>
    <row r="170" spans="1:35" x14ac:dyDescent="0.25">
      <c r="A170" s="42"/>
      <c r="B170" s="42"/>
      <c r="C170" s="42"/>
      <c r="D170" s="42"/>
      <c r="E170" s="4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</row>
    <row r="171" spans="1:35" x14ac:dyDescent="0.25">
      <c r="A171" s="1"/>
      <c r="B171" s="42"/>
      <c r="C171" s="42"/>
      <c r="D171" s="42"/>
      <c r="E171" s="4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</row>
    <row r="172" spans="1:35" x14ac:dyDescent="0.25">
      <c r="A172" s="1"/>
      <c r="B172" s="42"/>
      <c r="C172" s="42"/>
      <c r="D172" s="42"/>
      <c r="E172" s="4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</row>
    <row r="173" spans="1:35" x14ac:dyDescent="0.25">
      <c r="A173" s="4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</row>
    <row r="174" spans="1:3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</row>
    <row r="175" spans="1:35" ht="37.5" customHeight="1" x14ac:dyDescent="0.2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</row>
    <row r="176" spans="1:35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</row>
    <row r="177" spans="1:35" ht="15.75" customHeight="1" x14ac:dyDescent="0.25">
      <c r="A177" s="22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45"/>
      <c r="O177" s="89"/>
      <c r="P177" s="89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</row>
    <row r="178" spans="1:35" x14ac:dyDescent="0.25">
      <c r="A178" s="46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46"/>
      <c r="O178" s="90"/>
      <c r="P178" s="90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</row>
    <row r="179" spans="1:35" x14ac:dyDescent="0.25">
      <c r="A179" s="19"/>
      <c r="B179" s="23"/>
      <c r="C179" s="23"/>
      <c r="D179" s="23"/>
      <c r="E179" s="23"/>
      <c r="F179" s="18"/>
      <c r="G179" s="18"/>
      <c r="H179" s="18"/>
      <c r="I179" s="19"/>
      <c r="J179" s="19"/>
      <c r="K179" s="20"/>
      <c r="L179" s="20"/>
      <c r="M179" s="20"/>
      <c r="N179" s="44"/>
      <c r="O179" s="19"/>
      <c r="P179" s="24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</row>
    <row r="180" spans="1:35" ht="51" customHeight="1" x14ac:dyDescent="0.25">
      <c r="A180" s="19"/>
      <c r="B180" s="23"/>
      <c r="C180" s="23"/>
      <c r="D180" s="23"/>
      <c r="E180" s="23"/>
      <c r="F180" s="18"/>
      <c r="G180" s="18"/>
      <c r="H180" s="18"/>
      <c r="I180" s="19"/>
      <c r="J180" s="19"/>
      <c r="K180" s="20"/>
      <c r="L180" s="20"/>
      <c r="M180" s="20"/>
      <c r="N180" s="44"/>
      <c r="O180" s="19"/>
      <c r="P180" s="24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</row>
    <row r="181" spans="1:35" x14ac:dyDescent="0.25">
      <c r="A181" s="19"/>
      <c r="B181" s="23"/>
      <c r="C181" s="23"/>
      <c r="D181" s="23"/>
      <c r="E181" s="23"/>
      <c r="F181" s="18"/>
      <c r="G181" s="18"/>
      <c r="H181" s="18"/>
      <c r="I181" s="19"/>
      <c r="J181" s="19"/>
      <c r="K181" s="20"/>
      <c r="L181" s="20"/>
      <c r="M181" s="20"/>
      <c r="N181" s="44"/>
      <c r="O181" s="19"/>
      <c r="P181" s="24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</row>
    <row r="182" spans="1:35" x14ac:dyDescent="0.25">
      <c r="A182" s="46"/>
      <c r="B182" s="1"/>
      <c r="C182" s="1"/>
      <c r="D182" s="1"/>
      <c r="E182" s="1"/>
      <c r="F182" s="10"/>
      <c r="G182" s="10"/>
      <c r="H182" s="10"/>
      <c r="I182" s="46"/>
      <c r="J182" s="46"/>
      <c r="K182" s="46"/>
      <c r="L182" s="11"/>
      <c r="M182" s="11"/>
      <c r="N182" s="42"/>
      <c r="O182" s="42"/>
      <c r="P182" s="26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</row>
    <row r="183" spans="1:35" x14ac:dyDescent="0.25">
      <c r="A183" s="46"/>
      <c r="B183" s="1"/>
      <c r="C183" s="1"/>
      <c r="D183" s="1"/>
      <c r="E183" s="1"/>
      <c r="F183" s="10"/>
      <c r="G183" s="10"/>
      <c r="H183" s="10"/>
      <c r="I183" s="46"/>
      <c r="J183" s="46"/>
      <c r="K183" s="46"/>
      <c r="L183" s="11"/>
      <c r="M183" s="11"/>
      <c r="N183" s="42"/>
      <c r="O183" s="42"/>
      <c r="P183" s="26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</row>
    <row r="184" spans="1:35" x14ac:dyDescent="0.25">
      <c r="A184" s="46"/>
      <c r="B184" s="1"/>
      <c r="C184" s="1"/>
      <c r="D184" s="1"/>
      <c r="E184" s="1"/>
      <c r="F184" s="1"/>
      <c r="G184" s="1"/>
      <c r="H184" s="1"/>
      <c r="I184" s="46"/>
      <c r="J184" s="46"/>
      <c r="K184" s="46"/>
      <c r="L184" s="46"/>
      <c r="M184" s="46"/>
      <c r="N184" s="42"/>
      <c r="O184" s="42"/>
      <c r="P184" s="26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</row>
    <row r="185" spans="1:35" x14ac:dyDescent="0.25">
      <c r="A185" s="46"/>
      <c r="B185" s="1"/>
      <c r="C185" s="1"/>
      <c r="D185" s="1"/>
      <c r="E185" s="1"/>
      <c r="F185" s="10"/>
      <c r="G185" s="10"/>
      <c r="H185" s="10"/>
      <c r="I185" s="46"/>
      <c r="J185" s="46"/>
      <c r="K185" s="46"/>
      <c r="L185" s="11"/>
      <c r="M185" s="11"/>
      <c r="N185" s="42"/>
      <c r="O185" s="42"/>
      <c r="P185" s="26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</row>
    <row r="186" spans="1:35" x14ac:dyDescent="0.25">
      <c r="A186" s="46"/>
      <c r="B186" s="1"/>
      <c r="C186" s="1"/>
      <c r="D186" s="1"/>
      <c r="E186" s="1"/>
      <c r="F186" s="10"/>
      <c r="G186" s="10"/>
      <c r="H186" s="10"/>
      <c r="I186" s="46"/>
      <c r="J186" s="46"/>
      <c r="K186" s="46"/>
      <c r="L186" s="11"/>
      <c r="M186" s="11"/>
      <c r="N186" s="42"/>
      <c r="O186" s="42"/>
      <c r="P186" s="26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</row>
    <row r="187" spans="1:35" x14ac:dyDescent="0.25">
      <c r="A187" s="1"/>
      <c r="B187" s="1"/>
      <c r="C187" s="1"/>
      <c r="D187" s="1"/>
      <c r="E187" s="1"/>
      <c r="F187" s="1"/>
      <c r="G187" s="1"/>
      <c r="H187" s="1"/>
      <c r="I187" s="46"/>
      <c r="J187" s="46"/>
      <c r="K187" s="46"/>
      <c r="L187" s="46"/>
      <c r="M187" s="46"/>
      <c r="N187" s="42"/>
      <c r="O187" s="42"/>
      <c r="P187" s="26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</row>
    <row r="188" spans="1:3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</row>
    <row r="189" spans="1:35" x14ac:dyDescent="0.25">
      <c r="A189" s="1"/>
      <c r="B189" s="1"/>
      <c r="C189" s="1"/>
      <c r="D189" s="1"/>
      <c r="E189" s="1"/>
      <c r="F189" s="1"/>
      <c r="G189" s="1"/>
      <c r="H189" s="1"/>
      <c r="I189" s="46"/>
      <c r="J189" s="1"/>
      <c r="K189" s="1"/>
      <c r="L189" s="1"/>
      <c r="M189" s="1"/>
      <c r="N189" s="1"/>
      <c r="O189" s="1"/>
      <c r="P189" s="1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</row>
    <row r="190" spans="1:35" x14ac:dyDescent="0.25">
      <c r="A190" s="1"/>
      <c r="B190" s="1"/>
      <c r="C190" s="1"/>
      <c r="D190" s="1"/>
      <c r="E190" s="1"/>
      <c r="F190" s="1"/>
      <c r="G190" s="1"/>
      <c r="H190" s="1"/>
      <c r="I190" s="46"/>
      <c r="J190" s="1"/>
      <c r="K190" s="1"/>
      <c r="L190" s="1"/>
      <c r="M190" s="1"/>
      <c r="N190" s="1"/>
      <c r="O190" s="1"/>
      <c r="P190" s="46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</row>
    <row r="191" spans="1:3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46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</row>
    <row r="192" spans="1:3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46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</row>
    <row r="193" spans="1:3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46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</row>
    <row r="194" spans="1:3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4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</row>
    <row r="195" spans="1:3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46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</row>
    <row r="196" spans="1:3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</row>
    <row r="197" spans="1:3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46"/>
      <c r="O197" s="46"/>
      <c r="P197" s="46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</row>
    <row r="198" spans="1:3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46"/>
      <c r="O198" s="46"/>
      <c r="P198" s="46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</row>
    <row r="199" spans="1:35" ht="50.1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</row>
    <row r="217" spans="1:17" x14ac:dyDescent="0.2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32">
        <v>7</v>
      </c>
    </row>
    <row r="218" spans="1:17" x14ac:dyDescent="0.2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 spans="1:17" x14ac:dyDescent="0.25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</row>
    <row r="220" spans="1:17" x14ac:dyDescent="0.25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</row>
    <row r="221" spans="1:17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46"/>
    </row>
    <row r="222" spans="1:17" x14ac:dyDescent="0.25">
      <c r="A222" s="1"/>
      <c r="B222" s="1"/>
      <c r="C222" s="1"/>
      <c r="D222" s="1"/>
      <c r="E222" s="1"/>
      <c r="F222" s="1"/>
      <c r="G222" s="1"/>
      <c r="H222" s="1"/>
      <c r="I222" s="9"/>
      <c r="J222" s="1"/>
      <c r="K222" s="1"/>
      <c r="L222" s="1"/>
      <c r="M222" s="1"/>
      <c r="N222" s="1"/>
      <c r="O222" s="1"/>
      <c r="P222" s="1"/>
    </row>
    <row r="223" spans="1:17" x14ac:dyDescent="0.25">
      <c r="A223" s="27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6"/>
      <c r="O223" s="6"/>
      <c r="P223" s="6"/>
    </row>
    <row r="224" spans="1:17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1"/>
    </row>
    <row r="225" spans="1:16" x14ac:dyDescent="0.25">
      <c r="A225" s="27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27"/>
      <c r="O225" s="1"/>
    </row>
    <row r="226" spans="1:16" x14ac:dyDescent="0.25">
      <c r="N226" s="6"/>
      <c r="O226" s="6"/>
      <c r="P226" s="6"/>
    </row>
    <row r="227" spans="1:16" x14ac:dyDescent="0.25">
      <c r="A227" s="1"/>
      <c r="B227" s="1"/>
      <c r="C227" s="1"/>
      <c r="D227" s="1"/>
      <c r="E227" s="1"/>
      <c r="F227" s="1"/>
      <c r="G227" s="1"/>
      <c r="H227" s="1"/>
      <c r="I227" s="27"/>
      <c r="J227" s="27"/>
      <c r="K227" s="27"/>
      <c r="L227" s="27"/>
      <c r="M227" s="27"/>
      <c r="N227" s="2"/>
      <c r="O227" s="85"/>
      <c r="P227" s="85"/>
    </row>
    <row r="228" spans="1:16" x14ac:dyDescent="0.25">
      <c r="A228" s="1"/>
      <c r="B228" s="1"/>
      <c r="C228" s="1"/>
      <c r="D228" s="1"/>
      <c r="E228" s="1"/>
      <c r="F228" s="1"/>
      <c r="G228" s="1"/>
      <c r="H228" s="1"/>
      <c r="I228" s="3"/>
      <c r="J228" s="1"/>
      <c r="K228" s="1"/>
      <c r="L228" s="1"/>
      <c r="M228" s="1"/>
      <c r="N228" s="1"/>
      <c r="O228" s="1"/>
      <c r="P228" s="1"/>
    </row>
    <row r="229" spans="1:1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25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</row>
    <row r="231" spans="1:16" x14ac:dyDescent="0.25">
      <c r="A231" s="1"/>
      <c r="B231" s="1"/>
      <c r="C231" s="1"/>
      <c r="D231" s="1"/>
      <c r="E231" s="1"/>
      <c r="F231" s="1"/>
      <c r="G231" s="1"/>
      <c r="H231" s="1"/>
      <c r="I231" s="4"/>
      <c r="J231" s="1"/>
      <c r="K231" s="1"/>
      <c r="L231" s="1"/>
      <c r="M231" s="1"/>
      <c r="N231" s="1"/>
      <c r="O231" s="1"/>
      <c r="P231" s="1"/>
    </row>
    <row r="232" spans="1:16" x14ac:dyDescent="0.25">
      <c r="A232" s="42"/>
      <c r="B232" s="42"/>
      <c r="C232" s="42"/>
      <c r="D232" s="42"/>
      <c r="E232" s="4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25">
      <c r="A233" s="1"/>
      <c r="B233" s="42"/>
      <c r="C233" s="42"/>
      <c r="D233" s="42"/>
      <c r="E233" s="4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25">
      <c r="A234" s="1"/>
      <c r="B234" s="42"/>
      <c r="C234" s="42"/>
      <c r="D234" s="42"/>
      <c r="E234" s="4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4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</row>
    <row r="238" spans="1:16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</row>
    <row r="239" spans="1:16" x14ac:dyDescent="0.25">
      <c r="A239" s="22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45"/>
      <c r="O239" s="89"/>
      <c r="P239" s="89"/>
    </row>
    <row r="240" spans="1:16" x14ac:dyDescent="0.25">
      <c r="A240" s="46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46"/>
      <c r="O240" s="90"/>
      <c r="P240" s="90"/>
    </row>
    <row r="241" spans="1:16" x14ac:dyDescent="0.25">
      <c r="A241" s="19"/>
      <c r="B241" s="23"/>
      <c r="C241" s="23"/>
      <c r="D241" s="23"/>
      <c r="E241" s="23"/>
      <c r="F241" s="18"/>
      <c r="G241" s="18"/>
      <c r="H241" s="18"/>
      <c r="I241" s="19"/>
      <c r="J241" s="19"/>
      <c r="K241" s="20"/>
      <c r="L241" s="20"/>
      <c r="M241" s="20"/>
      <c r="N241" s="44"/>
      <c r="O241" s="19"/>
      <c r="P241" s="24"/>
    </row>
    <row r="242" spans="1:16" x14ac:dyDescent="0.25">
      <c r="A242" s="19"/>
      <c r="B242" s="23"/>
      <c r="C242" s="23"/>
      <c r="D242" s="23"/>
      <c r="E242" s="23"/>
      <c r="F242" s="18"/>
      <c r="G242" s="18"/>
      <c r="H242" s="18"/>
      <c r="I242" s="19"/>
      <c r="J242" s="19"/>
      <c r="K242" s="19"/>
      <c r="L242" s="20"/>
      <c r="M242" s="20"/>
      <c r="N242" s="44"/>
      <c r="O242" s="19"/>
      <c r="P242" s="25"/>
    </row>
    <row r="243" spans="1:16" x14ac:dyDescent="0.25">
      <c r="A243" s="46"/>
      <c r="B243" s="1"/>
      <c r="C243" s="1"/>
      <c r="D243" s="1"/>
      <c r="E243" s="1"/>
      <c r="F243" s="10"/>
      <c r="G243" s="10"/>
      <c r="H243" s="10"/>
      <c r="I243" s="46"/>
      <c r="J243" s="46"/>
      <c r="K243" s="46"/>
      <c r="L243" s="11"/>
      <c r="M243" s="11"/>
      <c r="N243" s="42"/>
      <c r="O243" s="42"/>
      <c r="P243" s="26"/>
    </row>
    <row r="244" spans="1:16" x14ac:dyDescent="0.25">
      <c r="A244" s="46"/>
      <c r="B244" s="1"/>
      <c r="C244" s="1"/>
      <c r="D244" s="1"/>
      <c r="E244" s="1"/>
      <c r="F244" s="10"/>
      <c r="G244" s="10"/>
      <c r="H244" s="10"/>
      <c r="I244" s="46"/>
      <c r="J244" s="46"/>
      <c r="K244" s="46"/>
      <c r="L244" s="11"/>
      <c r="M244" s="11"/>
      <c r="N244" s="42"/>
      <c r="O244" s="42"/>
      <c r="P244" s="26"/>
    </row>
    <row r="245" spans="1:16" x14ac:dyDescent="0.25">
      <c r="A245" s="46"/>
      <c r="B245" s="1"/>
      <c r="C245" s="1"/>
      <c r="D245" s="1"/>
      <c r="E245" s="1"/>
      <c r="F245" s="1"/>
      <c r="G245" s="1"/>
      <c r="H245" s="1"/>
      <c r="I245" s="46"/>
      <c r="J245" s="46"/>
      <c r="K245" s="46"/>
      <c r="L245" s="46"/>
      <c r="M245" s="46"/>
      <c r="N245" s="42"/>
      <c r="O245" s="42"/>
      <c r="P245" s="26"/>
    </row>
    <row r="246" spans="1:16" x14ac:dyDescent="0.25">
      <c r="A246" s="46"/>
      <c r="B246" s="1"/>
      <c r="C246" s="1"/>
      <c r="D246" s="1"/>
      <c r="E246" s="1"/>
      <c r="F246" s="10"/>
      <c r="G246" s="10"/>
      <c r="H246" s="10"/>
      <c r="I246" s="46"/>
      <c r="J246" s="46"/>
      <c r="K246" s="46"/>
      <c r="L246" s="11"/>
      <c r="M246" s="11"/>
      <c r="N246" s="42"/>
      <c r="O246" s="42"/>
      <c r="P246" s="26"/>
    </row>
    <row r="247" spans="1:16" x14ac:dyDescent="0.25">
      <c r="A247" s="46"/>
      <c r="B247" s="1"/>
      <c r="C247" s="1"/>
      <c r="D247" s="1"/>
      <c r="E247" s="1"/>
      <c r="F247" s="10"/>
      <c r="G247" s="10"/>
      <c r="H247" s="10"/>
      <c r="I247" s="46"/>
      <c r="J247" s="46"/>
      <c r="K247" s="46"/>
      <c r="L247" s="11"/>
      <c r="M247" s="11"/>
      <c r="N247" s="42"/>
      <c r="O247" s="42"/>
      <c r="P247" s="26"/>
    </row>
    <row r="248" spans="1:16" x14ac:dyDescent="0.25">
      <c r="A248" s="1"/>
      <c r="B248" s="1"/>
      <c r="C248" s="1"/>
      <c r="D248" s="1"/>
      <c r="E248" s="1"/>
      <c r="F248" s="1"/>
      <c r="G248" s="1"/>
      <c r="H248" s="1"/>
      <c r="I248" s="46"/>
      <c r="J248" s="46"/>
      <c r="K248" s="46"/>
      <c r="L248" s="46"/>
      <c r="M248" s="46"/>
      <c r="N248" s="42"/>
      <c r="O248" s="42"/>
      <c r="P248" s="26"/>
    </row>
    <row r="249" spans="1:1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"/>
      <c r="B250" s="1"/>
      <c r="C250" s="1"/>
      <c r="D250" s="1"/>
      <c r="E250" s="1"/>
      <c r="F250" s="1"/>
      <c r="G250" s="1"/>
      <c r="H250" s="1"/>
      <c r="I250" s="46"/>
      <c r="J250" s="1"/>
      <c r="K250" s="1"/>
      <c r="L250" s="1"/>
      <c r="M250" s="1"/>
      <c r="N250" s="1"/>
      <c r="O250" s="1"/>
      <c r="P250" s="1"/>
    </row>
    <row r="251" spans="1:16" x14ac:dyDescent="0.25">
      <c r="A251" s="1"/>
      <c r="B251" s="1"/>
      <c r="C251" s="1"/>
      <c r="D251" s="1"/>
      <c r="E251" s="1"/>
      <c r="F251" s="1"/>
      <c r="G251" s="1"/>
      <c r="H251" s="1"/>
      <c r="I251" s="46"/>
      <c r="J251" s="1"/>
      <c r="K251" s="1"/>
      <c r="L251" s="1"/>
      <c r="M251" s="1"/>
      <c r="N251" s="1"/>
      <c r="O251" s="1"/>
      <c r="P251" s="46"/>
    </row>
    <row r="252" spans="1:1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46"/>
    </row>
    <row r="253" spans="1:1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46"/>
    </row>
    <row r="254" spans="1:1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46"/>
    </row>
    <row r="255" spans="1:1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34"/>
    </row>
    <row r="256" spans="1:1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46"/>
    </row>
    <row r="257" spans="1:1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46"/>
      <c r="O258" s="46"/>
      <c r="P258" s="46"/>
    </row>
    <row r="259" spans="1:1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46"/>
      <c r="O259" s="46"/>
      <c r="P259" s="46"/>
    </row>
    <row r="260" spans="1:1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</sheetData>
  <mergeCells count="77">
    <mergeCell ref="A61:P61"/>
    <mergeCell ref="A53:P53"/>
    <mergeCell ref="B27:M27"/>
    <mergeCell ref="O27:P27"/>
    <mergeCell ref="B28:M28"/>
    <mergeCell ref="O28:P28"/>
    <mergeCell ref="N36:P36"/>
    <mergeCell ref="N37:P37"/>
    <mergeCell ref="N42:P42"/>
    <mergeCell ref="A51:P51"/>
    <mergeCell ref="N43:P43"/>
    <mergeCell ref="A48:P48"/>
    <mergeCell ref="A50:P50"/>
    <mergeCell ref="C7:L7"/>
    <mergeCell ref="A25:P25"/>
    <mergeCell ref="E20:P20"/>
    <mergeCell ref="E16:P16"/>
    <mergeCell ref="E17:P17"/>
    <mergeCell ref="E18:P18"/>
    <mergeCell ref="E19:P19"/>
    <mergeCell ref="A22:B22"/>
    <mergeCell ref="E22:P22"/>
    <mergeCell ref="A23:B23"/>
    <mergeCell ref="E23:P23"/>
    <mergeCell ref="A1:P1"/>
    <mergeCell ref="A2:P2"/>
    <mergeCell ref="A3:P3"/>
    <mergeCell ref="A4:P4"/>
    <mergeCell ref="O5:P5"/>
    <mergeCell ref="T8:AD8"/>
    <mergeCell ref="B9:M9"/>
    <mergeCell ref="O11:P11"/>
    <mergeCell ref="A14:P14"/>
    <mergeCell ref="E21:P21"/>
    <mergeCell ref="A100:P100"/>
    <mergeCell ref="B63:M63"/>
    <mergeCell ref="O63:P63"/>
    <mergeCell ref="B64:M64"/>
    <mergeCell ref="O64:P64"/>
    <mergeCell ref="B122:M122"/>
    <mergeCell ref="O122:P122"/>
    <mergeCell ref="B123:M123"/>
    <mergeCell ref="O123:P123"/>
    <mergeCell ref="A101:P101"/>
    <mergeCell ref="A102:P102"/>
    <mergeCell ref="A103:P103"/>
    <mergeCell ref="B106:M106"/>
    <mergeCell ref="B108:M108"/>
    <mergeCell ref="O110:P110"/>
    <mergeCell ref="A113:P113"/>
    <mergeCell ref="A120:P120"/>
    <mergeCell ref="B225:M225"/>
    <mergeCell ref="O227:P227"/>
    <mergeCell ref="O165:P165"/>
    <mergeCell ref="A168:P168"/>
    <mergeCell ref="A175:P175"/>
    <mergeCell ref="B177:M177"/>
    <mergeCell ref="O177:P177"/>
    <mergeCell ref="B178:M178"/>
    <mergeCell ref="O178:P178"/>
    <mergeCell ref="A217:P217"/>
    <mergeCell ref="A218:P218"/>
    <mergeCell ref="A219:P219"/>
    <mergeCell ref="A220:P220"/>
    <mergeCell ref="B223:M223"/>
    <mergeCell ref="A230:P230"/>
    <mergeCell ref="A237:P237"/>
    <mergeCell ref="B239:M239"/>
    <mergeCell ref="O239:P239"/>
    <mergeCell ref="B240:M240"/>
    <mergeCell ref="O240:P240"/>
    <mergeCell ref="B163:M163"/>
    <mergeCell ref="A155:P155"/>
    <mergeCell ref="A156:P156"/>
    <mergeCell ref="A157:P157"/>
    <mergeCell ref="A158:P158"/>
    <mergeCell ref="B161:M161"/>
  </mergeCells>
  <pageMargins left="0.51181102362204722" right="0.31496062992125984" top="0.35433070866141736" bottom="0.19685039370078741" header="0.31496062992125984" footer="0.31496062992125984"/>
  <pageSetup paperSize="5" scale="78" orientation="portrait" horizontalDpi="180" verticalDpi="180" r:id="rId1"/>
  <rowBreaks count="1" manualBreakCount="1">
    <brk id="47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84E-D2A9-41D5-B2D2-5268641517B6}">
  <dimension ref="A2:P38"/>
  <sheetViews>
    <sheetView zoomScale="70" zoomScaleNormal="70" workbookViewId="0">
      <selection activeCell="E7" sqref="E7:F8"/>
    </sheetView>
  </sheetViews>
  <sheetFormatPr defaultRowHeight="15" x14ac:dyDescent="0.25"/>
  <cols>
    <col min="2" max="2" width="34.42578125" customWidth="1"/>
    <col min="3" max="3" width="22" customWidth="1"/>
    <col min="4" max="4" width="16.5703125" customWidth="1"/>
    <col min="5" max="5" width="6" customWidth="1"/>
    <col min="6" max="6" width="13.5703125" customWidth="1"/>
    <col min="7" max="7" width="16.28515625" customWidth="1"/>
    <col min="8" max="8" width="15.7109375" customWidth="1"/>
    <col min="9" max="9" width="11.5703125" customWidth="1"/>
    <col min="10" max="10" width="17.28515625" customWidth="1"/>
    <col min="11" max="11" width="18.7109375" customWidth="1"/>
    <col min="12" max="12" width="15.140625" customWidth="1"/>
  </cols>
  <sheetData>
    <row r="2" spans="1:15" ht="18.75" x14ac:dyDescent="0.3">
      <c r="A2" s="108" t="s">
        <v>82</v>
      </c>
      <c r="B2" s="108"/>
      <c r="C2" s="108"/>
      <c r="D2" s="108"/>
      <c r="E2" s="108"/>
      <c r="F2" s="108"/>
      <c r="G2" s="67"/>
      <c r="H2" s="67"/>
      <c r="I2" s="67"/>
      <c r="J2" s="67"/>
      <c r="K2" s="68"/>
    </row>
    <row r="3" spans="1:15" ht="15.75" x14ac:dyDescent="0.25">
      <c r="B3" s="90"/>
      <c r="C3" s="90"/>
      <c r="D3" s="90"/>
      <c r="E3" s="90"/>
      <c r="F3" s="90"/>
      <c r="G3" s="1"/>
      <c r="H3" s="1"/>
      <c r="I3" s="1"/>
      <c r="J3" s="1"/>
      <c r="K3" s="69"/>
    </row>
    <row r="4" spans="1:15" ht="15.75" x14ac:dyDescent="0.25">
      <c r="B4" s="70"/>
      <c r="C4" s="70"/>
      <c r="D4" s="70"/>
      <c r="E4" s="70"/>
      <c r="F4" s="70"/>
      <c r="G4" s="70"/>
      <c r="H4" s="70"/>
      <c r="I4" s="70"/>
      <c r="J4" s="70"/>
      <c r="K4" s="70"/>
    </row>
    <row r="5" spans="1:15" ht="15.75" x14ac:dyDescent="0.25">
      <c r="A5" s="109" t="s">
        <v>9</v>
      </c>
      <c r="B5" s="109" t="s">
        <v>47</v>
      </c>
      <c r="C5" s="109" t="s">
        <v>48</v>
      </c>
      <c r="D5" s="109" t="s">
        <v>10</v>
      </c>
      <c r="E5" s="110" t="s">
        <v>49</v>
      </c>
      <c r="F5" s="111"/>
      <c r="G5" s="31"/>
      <c r="H5" s="31"/>
      <c r="I5" s="92"/>
      <c r="J5" s="92"/>
    </row>
    <row r="6" spans="1:15" ht="15.75" x14ac:dyDescent="0.25">
      <c r="A6" s="109"/>
      <c r="B6" s="109"/>
      <c r="C6" s="109"/>
      <c r="D6" s="109"/>
      <c r="E6" s="110"/>
      <c r="F6" s="111"/>
      <c r="G6" s="1"/>
      <c r="I6" s="1"/>
      <c r="J6" s="69"/>
    </row>
    <row r="7" spans="1:15" ht="88.5" customHeight="1" x14ac:dyDescent="0.25">
      <c r="A7" s="71">
        <v>1</v>
      </c>
      <c r="B7" s="82" t="s">
        <v>64</v>
      </c>
      <c r="C7" s="15">
        <v>2029283675</v>
      </c>
      <c r="D7" s="72">
        <v>400000</v>
      </c>
      <c r="E7" s="103" t="s">
        <v>51</v>
      </c>
      <c r="F7" s="104"/>
      <c r="G7" s="27"/>
      <c r="J7" s="73"/>
    </row>
    <row r="8" spans="1:15" ht="39.950000000000003" customHeight="1" x14ac:dyDescent="0.25">
      <c r="A8" s="74"/>
      <c r="B8" s="74" t="s">
        <v>50</v>
      </c>
      <c r="C8" s="74"/>
      <c r="D8" s="75">
        <f>D7</f>
        <v>400000</v>
      </c>
      <c r="E8" s="105"/>
      <c r="F8" s="106"/>
      <c r="G8" s="32"/>
      <c r="J8" s="73"/>
    </row>
    <row r="9" spans="1:15" x14ac:dyDescent="0.25">
      <c r="K9" s="73"/>
    </row>
    <row r="10" spans="1:15" x14ac:dyDescent="0.25">
      <c r="K10" s="73"/>
    </row>
    <row r="11" spans="1:15" ht="15.75" x14ac:dyDescent="0.25">
      <c r="D11" s="90" t="s">
        <v>25</v>
      </c>
      <c r="E11" s="90"/>
      <c r="F11" s="90"/>
      <c r="G11" s="1"/>
      <c r="K11" s="73"/>
    </row>
    <row r="12" spans="1:15" ht="15.75" x14ac:dyDescent="0.25">
      <c r="D12" s="90" t="s">
        <v>26</v>
      </c>
      <c r="E12" s="90"/>
      <c r="F12" s="90"/>
      <c r="G12" s="1"/>
      <c r="K12" s="73"/>
    </row>
    <row r="13" spans="1:15" x14ac:dyDescent="0.25">
      <c r="K13" s="73"/>
    </row>
    <row r="14" spans="1:15" x14ac:dyDescent="0.25">
      <c r="K14" s="73"/>
    </row>
    <row r="15" spans="1:15" ht="18.75" x14ac:dyDescent="0.3">
      <c r="B15" s="67"/>
      <c r="C15" s="67"/>
      <c r="D15" s="67"/>
      <c r="E15" s="67"/>
      <c r="F15" s="67"/>
      <c r="G15" s="67"/>
      <c r="H15" s="67"/>
      <c r="I15" s="67"/>
      <c r="J15" s="67"/>
      <c r="K15" s="68"/>
      <c r="L15" s="67"/>
      <c r="M15" s="67"/>
      <c r="N15" s="67"/>
      <c r="O15" s="67"/>
    </row>
    <row r="16" spans="1:15" ht="15.75" x14ac:dyDescent="0.25">
      <c r="B16" s="1"/>
      <c r="C16" s="1"/>
      <c r="D16" s="1"/>
      <c r="E16" s="1"/>
      <c r="F16" s="1"/>
      <c r="G16" s="1"/>
      <c r="H16" s="1"/>
      <c r="I16" s="1"/>
      <c r="J16" s="1"/>
      <c r="K16" s="69"/>
      <c r="L16" s="1"/>
      <c r="M16" s="1"/>
      <c r="N16" s="1"/>
      <c r="O16" s="1"/>
    </row>
    <row r="17" spans="1:16" ht="15.75" x14ac:dyDescent="0.25">
      <c r="B17" s="70"/>
      <c r="C17" s="70"/>
      <c r="D17" s="100" t="s">
        <v>37</v>
      </c>
      <c r="E17" s="100"/>
      <c r="F17" s="100"/>
      <c r="G17" s="76"/>
      <c r="H17" s="70"/>
      <c r="I17" s="70"/>
      <c r="J17" s="70"/>
      <c r="K17" s="77"/>
      <c r="L17" s="70"/>
      <c r="M17" s="70"/>
      <c r="N17" s="70"/>
      <c r="O17" s="70"/>
    </row>
    <row r="18" spans="1:16" ht="15.75" x14ac:dyDescent="0.25">
      <c r="B18" s="78"/>
      <c r="C18" s="78"/>
      <c r="D18" s="90" t="s">
        <v>39</v>
      </c>
      <c r="E18" s="90"/>
      <c r="F18" s="90"/>
      <c r="G18" s="1"/>
      <c r="H18" s="78"/>
      <c r="I18" s="1"/>
      <c r="J18" s="1"/>
      <c r="K18" s="73"/>
      <c r="L18" s="31"/>
      <c r="M18" s="31"/>
      <c r="N18" s="92"/>
      <c r="O18" s="92"/>
    </row>
    <row r="21" spans="1:16" s="1" customFormat="1" ht="20.100000000000001" customHeight="1" x14ac:dyDescent="0.3">
      <c r="A21" s="108" t="s">
        <v>83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</row>
    <row r="22" spans="1:16" s="1" customFormat="1" ht="20.100000000000001" customHeight="1" x14ac:dyDescent="0.25">
      <c r="B22" s="46"/>
      <c r="C22" s="46"/>
      <c r="D22" s="46"/>
      <c r="E22" s="46"/>
      <c r="F22" s="46"/>
      <c r="G22" s="46"/>
      <c r="H22" s="46"/>
      <c r="I22" s="46"/>
    </row>
    <row r="23" spans="1:16" s="22" customFormat="1" ht="20.100000000000001" customHeight="1" x14ac:dyDescent="0.25">
      <c r="A23" s="102" t="s">
        <v>40</v>
      </c>
      <c r="B23" s="102" t="s">
        <v>41</v>
      </c>
      <c r="C23" s="102" t="s">
        <v>6</v>
      </c>
      <c r="D23" s="102" t="s">
        <v>66</v>
      </c>
      <c r="E23" s="102" t="s">
        <v>67</v>
      </c>
      <c r="F23" s="102" t="s">
        <v>50</v>
      </c>
      <c r="G23" s="102"/>
      <c r="H23" s="102"/>
      <c r="I23" s="102"/>
      <c r="J23" s="101" t="s">
        <v>53</v>
      </c>
      <c r="K23" s="102" t="s">
        <v>52</v>
      </c>
    </row>
    <row r="24" spans="1:16" s="22" customFormat="1" ht="30.75" customHeight="1" x14ac:dyDescent="0.25">
      <c r="A24" s="102"/>
      <c r="B24" s="102"/>
      <c r="C24" s="102"/>
      <c r="D24" s="102"/>
      <c r="E24" s="102"/>
      <c r="F24" s="15" t="s">
        <v>68</v>
      </c>
      <c r="G24" s="15" t="s">
        <v>69</v>
      </c>
      <c r="H24" s="15" t="s">
        <v>70</v>
      </c>
      <c r="I24" s="15" t="s">
        <v>71</v>
      </c>
      <c r="J24" s="101"/>
      <c r="K24" s="102"/>
    </row>
    <row r="25" spans="1:16" s="1" customFormat="1" ht="63" customHeight="1" x14ac:dyDescent="0.25">
      <c r="A25" s="15">
        <v>1</v>
      </c>
      <c r="B25" s="79" t="s">
        <v>75</v>
      </c>
      <c r="C25" s="83" t="s">
        <v>84</v>
      </c>
      <c r="D25" s="80" t="s">
        <v>76</v>
      </c>
      <c r="E25" s="15" t="s">
        <v>77</v>
      </c>
      <c r="F25" s="84">
        <v>340000</v>
      </c>
      <c r="G25" s="84"/>
      <c r="H25" s="84">
        <v>2788666</v>
      </c>
      <c r="I25" s="84"/>
      <c r="J25" s="84">
        <f>F25+G25+H25+I25</f>
        <v>3128666</v>
      </c>
      <c r="K25" s="15">
        <v>2152022550</v>
      </c>
    </row>
    <row r="26" spans="1:16" s="1" customFormat="1" ht="69.75" customHeight="1" x14ac:dyDescent="0.25">
      <c r="A26" s="15">
        <v>2</v>
      </c>
      <c r="B26" s="82" t="s">
        <v>56</v>
      </c>
      <c r="C26" s="83" t="s">
        <v>85</v>
      </c>
      <c r="D26" s="80" t="s">
        <v>80</v>
      </c>
      <c r="E26" s="15" t="s">
        <v>77</v>
      </c>
      <c r="F26" s="84">
        <v>340000</v>
      </c>
      <c r="G26" s="84"/>
      <c r="H26" s="84"/>
      <c r="I26" s="84"/>
      <c r="J26" s="84">
        <f t="shared" ref="J26:J28" si="0">F26+G26+H26+I26</f>
        <v>340000</v>
      </c>
      <c r="K26" s="15">
        <v>2029206867</v>
      </c>
      <c r="L26" s="59"/>
      <c r="N26" s="59"/>
      <c r="P26" s="59"/>
    </row>
    <row r="27" spans="1:16" s="1" customFormat="1" ht="63" customHeight="1" x14ac:dyDescent="0.25">
      <c r="A27" s="15">
        <v>3</v>
      </c>
      <c r="B27" s="82" t="s">
        <v>64</v>
      </c>
      <c r="C27" s="83" t="s">
        <v>72</v>
      </c>
      <c r="D27" s="80" t="s">
        <v>73</v>
      </c>
      <c r="E27" s="15" t="s">
        <v>74</v>
      </c>
      <c r="F27" s="84">
        <v>300000</v>
      </c>
      <c r="G27" s="84"/>
      <c r="H27" s="84"/>
      <c r="I27" s="84">
        <v>38000</v>
      </c>
      <c r="J27" s="84">
        <f t="shared" si="0"/>
        <v>338000</v>
      </c>
      <c r="K27" s="15">
        <v>2029283675</v>
      </c>
    </row>
    <row r="28" spans="1:16" s="1" customFormat="1" ht="69.75" customHeight="1" x14ac:dyDescent="0.25">
      <c r="A28" s="15">
        <v>4</v>
      </c>
      <c r="B28" s="82" t="s">
        <v>78</v>
      </c>
      <c r="C28" s="83"/>
      <c r="D28" s="80"/>
      <c r="E28" s="15"/>
      <c r="F28" s="84">
        <v>300000</v>
      </c>
      <c r="G28" s="84"/>
      <c r="H28" s="84"/>
      <c r="I28" s="84"/>
      <c r="J28" s="84">
        <f t="shared" si="0"/>
        <v>300000</v>
      </c>
      <c r="K28" s="83" t="s">
        <v>79</v>
      </c>
      <c r="L28" s="59">
        <f>J25+J26+J27+J28</f>
        <v>4106666</v>
      </c>
      <c r="N28" s="59"/>
      <c r="P28" s="59"/>
    </row>
    <row r="29" spans="1:16" x14ac:dyDescent="0.25">
      <c r="K29" s="66"/>
    </row>
    <row r="31" spans="1:16" ht="15.75" customHeight="1" x14ac:dyDescent="0.25">
      <c r="H31" s="90" t="s">
        <v>25</v>
      </c>
      <c r="I31" s="90"/>
      <c r="J31" s="90"/>
      <c r="K31" s="90"/>
      <c r="L31" s="1"/>
    </row>
    <row r="32" spans="1:16" ht="15.75" x14ac:dyDescent="0.25">
      <c r="H32" s="90" t="s">
        <v>26</v>
      </c>
      <c r="I32" s="90"/>
      <c r="J32" s="90"/>
      <c r="K32" s="90"/>
      <c r="L32" s="1"/>
    </row>
    <row r="37" spans="3:12" ht="15.75" x14ac:dyDescent="0.25">
      <c r="H37" s="100" t="s">
        <v>37</v>
      </c>
      <c r="I37" s="100"/>
      <c r="J37" s="100"/>
      <c r="K37" s="100"/>
      <c r="L37" s="76"/>
    </row>
    <row r="38" spans="3:12" ht="18.75" x14ac:dyDescent="0.25">
      <c r="C38" s="107"/>
      <c r="D38" s="107"/>
      <c r="E38" s="107"/>
      <c r="H38" s="90" t="s">
        <v>39</v>
      </c>
      <c r="I38" s="90"/>
      <c r="J38" s="90"/>
      <c r="K38" s="90"/>
      <c r="L38" s="1"/>
    </row>
  </sheetData>
  <mergeCells count="28">
    <mergeCell ref="C38:E38"/>
    <mergeCell ref="H38:K38"/>
    <mergeCell ref="A21:K21"/>
    <mergeCell ref="A23:A24"/>
    <mergeCell ref="A2:F2"/>
    <mergeCell ref="B3:F3"/>
    <mergeCell ref="A5:A6"/>
    <mergeCell ref="B5:B6"/>
    <mergeCell ref="C5:C6"/>
    <mergeCell ref="D5:D6"/>
    <mergeCell ref="E5:F6"/>
    <mergeCell ref="B23:B24"/>
    <mergeCell ref="C23:C24"/>
    <mergeCell ref="D23:D24"/>
    <mergeCell ref="E23:E24"/>
    <mergeCell ref="F23:I23"/>
    <mergeCell ref="N18:O18"/>
    <mergeCell ref="I5:J5"/>
    <mergeCell ref="E7:F8"/>
    <mergeCell ref="D11:F11"/>
    <mergeCell ref="D12:F12"/>
    <mergeCell ref="D17:F17"/>
    <mergeCell ref="D18:F18"/>
    <mergeCell ref="J23:J24"/>
    <mergeCell ref="K23:K24"/>
    <mergeCell ref="H31:K31"/>
    <mergeCell ref="H32:K32"/>
    <mergeCell ref="H37:K37"/>
  </mergeCells>
  <pageMargins left="0.33" right="0.70866141732283472" top="0.27559055118110237" bottom="0.74803149606299213" header="0.31496062992125984" footer="0.31496062992125984"/>
  <pageSetup paperSize="5" scale="89" orientation="landscape" horizontalDpi="0" verticalDpi="0" r:id="rId1"/>
  <rowBreaks count="1" manualBreakCount="1">
    <brk id="19" max="14" man="1"/>
  </rowBreaks>
  <colBreaks count="1" manualBreakCount="1">
    <brk id="11" max="3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npd</vt:lpstr>
      <vt:lpstr>Pinbuk</vt:lpstr>
      <vt:lpstr>npd!Print_Area</vt:lpstr>
      <vt:lpstr>Pinbuk!Print_Area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Pc</dc:creator>
  <cp:lastModifiedBy>Fuad Muhammad</cp:lastModifiedBy>
  <cp:lastPrinted>2026-06-11T03:04:57Z</cp:lastPrinted>
  <dcterms:created xsi:type="dcterms:W3CDTF">2019-01-25T07:13:48Z</dcterms:created>
  <dcterms:modified xsi:type="dcterms:W3CDTF">2026-08-04T07:56:45Z</dcterms:modified>
</cp:coreProperties>
</file>